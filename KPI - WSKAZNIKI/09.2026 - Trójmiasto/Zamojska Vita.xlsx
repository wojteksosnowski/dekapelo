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KTY ARCH\BIEZACE PROJEKTY\GDANSK-ZAMOJSKA\06_WYKONAWCZY_2\00_DOKUMENTY\02_DOK_PROJEKTOWE\"/>
    </mc:Choice>
  </mc:AlternateContent>
  <xr:revisionPtr revIDLastSave="0" documentId="13_ncr:1_{861D9022-D159-4D2C-AA36-1F75EA6C85CC}" xr6:coauthVersionLast="47" xr6:coauthVersionMax="47" xr10:uidLastSave="{00000000-0000-0000-0000-000000000000}"/>
  <bookViews>
    <workbookView xWindow="35925" yWindow="210" windowWidth="14295" windowHeight="14010" xr2:uid="{00000000-000D-0000-FFFF-FFFF00000000}"/>
  </bookViews>
  <sheets>
    <sheet name="zestawienie (proj)" sheetId="1" r:id="rId1"/>
  </sheets>
  <definedNames>
    <definedName name="_xlnm.Print_Area" localSheetId="0">'zestawienie (proj)'!$A$3:$C$70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54" i="1"/>
  <c r="D52" i="1"/>
  <c r="D39" i="1"/>
  <c r="D34" i="1" l="1"/>
  <c r="D35" i="1"/>
  <c r="D26" i="1"/>
  <c r="D20" i="1"/>
  <c r="D12" i="1"/>
  <c r="D70" i="1"/>
  <c r="D69" i="1"/>
  <c r="D68" i="1"/>
  <c r="D67" i="1"/>
  <c r="D66" i="1"/>
  <c r="D65" i="1"/>
  <c r="D64" i="1"/>
  <c r="D63" i="1"/>
  <c r="D62" i="1"/>
  <c r="D61" i="1"/>
  <c r="D60" i="1"/>
  <c r="D59" i="1"/>
</calcChain>
</file>

<file path=xl/sharedStrings.xml><?xml version="1.0" encoding="utf-8"?>
<sst xmlns="http://schemas.openxmlformats.org/spreadsheetml/2006/main" count="107" uniqueCount="102">
  <si>
    <t>Załącznik nr 17.</t>
  </si>
  <si>
    <t>Tabela parametrów inwestycji - Zamojska Gdańsk</t>
  </si>
  <si>
    <t>parametr</t>
  </si>
  <si>
    <t>opis</t>
  </si>
  <si>
    <t>Projekt Wykonawczy</t>
  </si>
  <si>
    <t>WG. PROJEKTU ZIELENI</t>
  </si>
  <si>
    <t>STAN ISTNIEJĄCY</t>
  </si>
  <si>
    <t xml:space="preserve">powierzchnia działki </t>
  </si>
  <si>
    <t>im</t>
  </si>
  <si>
    <t>Pd</t>
  </si>
  <si>
    <t xml:space="preserve">powierzchnia zabudowy </t>
  </si>
  <si>
    <t>Pz</t>
  </si>
  <si>
    <t>powierzchnia utwardzona (w tym)</t>
  </si>
  <si>
    <t xml:space="preserve">     powierzchnia chodników</t>
  </si>
  <si>
    <t xml:space="preserve">     powierzchnia dróg</t>
  </si>
  <si>
    <t xml:space="preserve">     powierzchnia naw. Bezpiecznej</t>
  </si>
  <si>
    <t xml:space="preserve">     powierzchnia deskowań</t>
  </si>
  <si>
    <t>powierzchnia biologicznie czynna (w tym)</t>
  </si>
  <si>
    <t xml:space="preserve">     powierzchnia biologicznie czynna 100%</t>
  </si>
  <si>
    <t xml:space="preserve">     powierzchnia biologicznie czynna na płycie garażu 50%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</si>
  <si>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</si>
  <si>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</si>
  <si>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</si>
  <si>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</si>
  <si>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</si>
  <si>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</si>
  <si>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</si>
  <si>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</si>
  <si>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</si>
  <si>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</si>
  <si>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</si>
  <si>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</si>
  <si>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</si>
  <si>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</si>
  <si>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</si>
  <si>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</si>
  <si>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</si>
  <si>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</si>
  <si>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</si>
  <si>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</si>
  <si>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r>
      <t xml:space="preserve">powierzchnia części wspólnych
</t>
    </r>
    <r>
      <rPr>
        <sz val="11"/>
        <color theme="1"/>
        <rFont val="Calibri"/>
        <family val="2"/>
        <charset val="238"/>
        <scheme val="minor"/>
      </rPr>
      <t>(klatki schodowe,windy, korytarze, fitness, sala klubowa, rowerownia, pom.mycia psów)</t>
    </r>
  </si>
  <si>
    <t>imp</t>
  </si>
  <si>
    <r>
      <rPr>
        <b/>
        <sz val="11"/>
        <color theme="1"/>
        <rFont val="Calibri"/>
        <family val="2"/>
        <charset val="238"/>
        <scheme val="minor"/>
      </rPr>
      <t>powierzchnia części wspólnych</t>
    </r>
    <r>
      <rPr>
        <sz val="11"/>
        <color theme="1"/>
        <rFont val="Calibri"/>
        <family val="2"/>
        <charset val="238"/>
        <scheme val="minor"/>
      </rPr>
      <t xml:space="preserve"> (bez powierzchni klatek schodowych, w tym podestów, spoczników, pionowych ciągów komunikacyjnych oraz szybów windowych)</t>
    </r>
  </si>
  <si>
    <t>suma miejsc parkingowych zewn. i miejsc postojowych w garażu</t>
  </si>
  <si>
    <t>impz+impg</t>
  </si>
  <si>
    <t>wskaźnik MP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</si>
  <si>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</si>
  <si>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</si>
  <si>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</si>
  <si>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</si>
  <si>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</si>
  <si>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</si>
  <si>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rodzinne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</si>
  <si>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</si>
  <si>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</si>
  <si>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</si>
  <si>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</si>
  <si>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</si>
  <si>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</si>
  <si>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</si>
  <si>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</si>
  <si>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</si>
  <si>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powierzchnia użytkowa hali garażowej (bez pomieszczeń technicznych)</t>
  </si>
  <si>
    <t>powierzchnia pomieszczeń technicznych w hali garażowej</t>
  </si>
  <si>
    <t>ilość komórek lokatorskich na kodygnacjach naziemnych</t>
  </si>
  <si>
    <t>ik</t>
  </si>
  <si>
    <t xml:space="preserve">powierzchnia komunikacji pionowej (klatki schodowe) </t>
  </si>
  <si>
    <t>powierzchnia komunikacji poziomej</t>
  </si>
  <si>
    <t>ilość klatek schodowych</t>
  </si>
  <si>
    <t>iks</t>
  </si>
  <si>
    <t>wysokość budynku</t>
  </si>
  <si>
    <t>wysokość parteru netto</t>
  </si>
  <si>
    <t>wysokość kondygnacji mieszkalnych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</si>
  <si>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</si>
  <si>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</si>
  <si>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</si>
  <si>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</si>
  <si>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balkonów/ loggi/ tarasów)</t>
  </si>
  <si>
    <t xml:space="preserve">Pc </t>
  </si>
  <si>
    <t>powierzchnia całkowita balkonów i loggi</t>
  </si>
  <si>
    <t>Pc</t>
  </si>
  <si>
    <t>powierzchnia całkowita (z uwzględnieniem balkonów/ loggi/ tarasów)</t>
  </si>
  <si>
    <t>Pcb</t>
  </si>
  <si>
    <t>powierzchnia całkowita nadziemia (bez  balkonów/ loggi/ tarasów)</t>
  </si>
  <si>
    <t>Pcn</t>
  </si>
  <si>
    <t>powierzchnia całkowita nadziemia (z uwzględnieniem balkonów/ loggi/ tarasów)</t>
  </si>
  <si>
    <t>Pcnb</t>
  </si>
  <si>
    <t>powierzchnia całkowita części podziemnej (garażu)</t>
  </si>
  <si>
    <t>Pcg</t>
  </si>
  <si>
    <t>powierzchnia elewacji bez okien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</si>
  <si>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</si>
  <si>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</si>
  <si>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</si>
  <si>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</si>
  <si>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</si>
  <si>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</si>
  <si>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</si>
  <si>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 xml:space="preserve">wskaźnik (PUM + PUU) /klatkę schodową (czy chodzi o pow. użyt. Obu klatek na jednym ppoziomie?) </t>
  </si>
  <si>
    <t>wskaźnik il.m./ iw</t>
  </si>
  <si>
    <t>wskaźnik Pc/Pcg</t>
  </si>
  <si>
    <t>wskaźnik ii.m./iks</t>
  </si>
  <si>
    <t>wskaźnik Pe/(PUM+PUU)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</si>
</sst>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rgb="FFD6DCE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22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0" fontId="3" fillId="0" borderId="3" xfId="1" applyNumberFormat="1" applyFont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2">
    <cellStyle name="Normalny" xfId="0" builtinId="0"/>
    <cellStyle name="Procentowy" xfId="1" builtinId="5"/>
  </cellStyles>
  <dxfs count="0"/>
  <tableStyles count="1" defaultTableStyle="TableStyleMedium2" defaultPivotStyle="PivotStyleLight16">
    <tableStyle name="Invisible" pivot="0" table="0" count="0" xr9:uid="{B7B856E8-BCF3-42CE-A3F6-7BA4E1F50E04}"/>
  </tableStyles>
  <colors>
    <mruColors>
      <color rgb="FFFF99FF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"/>
  <sheetViews>
    <sheetView showGridLines="0" tabSelected="1" zoomScale="85" zoomScaleNormal="85" zoomScaleSheetLayoutView="80" workbookViewId="0">
      <pane ySplit="4" topLeftCell="A5" activePane="bottomLeft" state="frozen"/>
      <selection pane="bottomLeft" activeCell="E17" sqref="E17"/>
    </sheetView>
  </sheetViews>
  <sheetFormatPr defaultRowHeight="15"/>
  <cols>
    <col min="1" max="1" width="16.42578125" customWidth="1"/>
    <col min="2" max="2" width="51.7109375" style="2" customWidth="1"/>
    <col min="3" max="3" width="11" style="1" bestFit="1" customWidth="1"/>
    <col min="4" max="4" width="18.140625" style="4" customWidth="1"/>
    <col min="5" max="5" width="25.28515625" customWidth="1"/>
    <col min="6" max="6" width="17.7109375" customWidth="1"/>
  </cols>
  <sheetData>
    <row r="1" spans="1:6">
      <c r="D1" s="3" t="s">
        <v>0</v>
      </c>
    </row>
    <row r="2" spans="1:6" ht="15.75" thickBot="1"/>
    <row r="3" spans="1:6" ht="27" customHeight="1" thickBot="1">
      <c r="A3" s="38" t="s">
        <v>1</v>
      </c>
      <c r="B3" s="39"/>
      <c r="C3" s="39"/>
      <c r="D3" s="40"/>
    </row>
    <row r="4" spans="1:6" ht="43.15" customHeight="1" thickBot="1">
      <c r="A4" s="41" t="s">
        <v>2</v>
      </c>
      <c r="B4" s="42"/>
      <c r="C4" s="9" t="s">
        <v>3</v>
      </c>
      <c r="D4" s="11" t="s">
        <v>4</v>
      </c>
      <c r="E4" s="12" t="s">
        <v>5</v>
      </c>
      <c r="F4" s="12" t="s">
        <v>6</v>
      </c>
    </row>
    <row r="5" spans="1:6" ht="25.15" customHeight="1">
      <c r="A5" s="43" t="s">
        <v>7</v>
      </c>
      <c r="B5" s="44" t="s">
        <v>8</v>
      </c>
      <c r="C5" s="10" t="s">
        <v>9</v>
      </c>
      <c r="D5" s="27">
        <v>5855.5</v>
      </c>
      <c r="E5" s="14"/>
    </row>
    <row r="6" spans="1:6" ht="15" customHeight="1">
      <c r="A6" s="34" t="s">
        <v>10</v>
      </c>
      <c r="B6" s="35"/>
      <c r="C6" s="5" t="s">
        <v>11</v>
      </c>
      <c r="D6" s="28">
        <v>1739.13</v>
      </c>
      <c r="E6" s="15"/>
    </row>
    <row r="7" spans="1:6" ht="21" customHeight="1">
      <c r="A7" s="34" t="s">
        <v>12</v>
      </c>
      <c r="B7" s="35"/>
      <c r="C7" s="5"/>
      <c r="D7" s="18">
        <v>1742.6</v>
      </c>
      <c r="E7" s="15"/>
    </row>
    <row r="8" spans="1:6" ht="15" customHeight="1">
      <c r="A8" s="30" t="s">
        <v>13</v>
      </c>
      <c r="B8" s="31"/>
      <c r="C8" s="5"/>
      <c r="D8" s="18">
        <v>413.15</v>
      </c>
      <c r="E8" s="15"/>
    </row>
    <row r="9" spans="1:6" ht="15" customHeight="1">
      <c r="A9" s="30" t="s">
        <v>14</v>
      </c>
      <c r="B9" s="31"/>
      <c r="C9" s="5"/>
      <c r="D9" s="18">
        <v>871.91</v>
      </c>
      <c r="E9" s="15"/>
    </row>
    <row r="10" spans="1:6" ht="15" customHeight="1">
      <c r="A10" s="30" t="s">
        <v>15</v>
      </c>
      <c r="B10" s="31"/>
      <c r="C10" s="5"/>
      <c r="D10" s="18">
        <v>0</v>
      </c>
      <c r="E10" s="15"/>
    </row>
    <row r="11" spans="1:6" ht="15" customHeight="1">
      <c r="A11" s="30" t="s">
        <v>16</v>
      </c>
      <c r="B11" s="31"/>
      <c r="C11" s="5"/>
      <c r="D11" s="18">
        <v>125.84</v>
      </c>
      <c r="E11" s="15"/>
    </row>
    <row r="12" spans="1:6" ht="15" customHeight="1">
      <c r="A12" s="34" t="s">
        <v>17</v>
      </c>
      <c r="B12" s="35"/>
      <c r="C12" s="5"/>
      <c r="D12" s="18">
        <f>SUM(D13:D14)</f>
        <v>2033.52</v>
      </c>
      <c r="E12" s="15"/>
      <c r="F12" s="13"/>
    </row>
    <row r="13" spans="1:6" ht="15" customHeight="1">
      <c r="A13" s="30" t="s">
        <v>18</v>
      </c>
      <c r="B13" s="31"/>
      <c r="C13" s="5"/>
      <c r="D13" s="18">
        <v>1716.82</v>
      </c>
      <c r="E13" s="15"/>
    </row>
    <row r="14" spans="1:6" ht="15" customHeight="1">
      <c r="A14" s="30" t="s">
        <v>19</v>
      </c>
      <c r="B14" s="31"/>
      <c r="C14" s="5"/>
      <c r="D14" s="18">
        <v>316.7</v>
      </c>
      <c r="E14" s="15"/>
    </row>
    <row r="15" spans="1:6" ht="15" customHeight="1">
      <c r="A15" s="30" t="s">
        <v>20</v>
      </c>
      <c r="B15" s="31"/>
      <c r="C15" s="5"/>
      <c r="D15" s="18">
        <v>0</v>
      </c>
      <c r="E15" s="15"/>
    </row>
    <row r="16" spans="1:6" ht="15" customHeight="1">
      <c r="A16" s="34" t="s">
        <v>21</v>
      </c>
      <c r="B16" s="35"/>
      <c r="C16" s="5"/>
      <c r="D16" s="19">
        <v>0.29920000000000002</v>
      </c>
      <c r="E16" s="15"/>
    </row>
    <row r="17" spans="1:5" ht="15" customHeight="1">
      <c r="A17" s="36" t="s">
        <v>22</v>
      </c>
      <c r="B17" s="37"/>
      <c r="C17" s="6" t="s">
        <v>23</v>
      </c>
      <c r="D17" s="20">
        <v>5023.8</v>
      </c>
      <c r="E17" s="15"/>
    </row>
    <row r="18" spans="1:5" ht="15" customHeight="1">
      <c r="A18" s="36" t="s">
        <v>24</v>
      </c>
      <c r="B18" s="37"/>
      <c r="C18" s="6" t="s">
        <v>25</v>
      </c>
      <c r="D18" s="21">
        <v>89</v>
      </c>
      <c r="E18" s="15"/>
    </row>
    <row r="19" spans="1:5" ht="15" customHeight="1">
      <c r="A19" s="30" t="s">
        <v>26</v>
      </c>
      <c r="B19" s="31" t="s">
        <v>8</v>
      </c>
      <c r="C19" s="7" t="s">
        <v>27</v>
      </c>
      <c r="D19" s="22">
        <v>89</v>
      </c>
      <c r="E19" s="15"/>
    </row>
    <row r="20" spans="1:5" ht="15" customHeight="1">
      <c r="A20" s="30" t="s">
        <v>28</v>
      </c>
      <c r="B20" s="31" t="s">
        <v>29</v>
      </c>
      <c r="C20" s="7" t="s">
        <v>30</v>
      </c>
      <c r="D20" s="23">
        <f>D17</f>
        <v>5023.8</v>
      </c>
      <c r="E20" s="15"/>
    </row>
    <row r="21" spans="1:5" ht="15" customHeight="1">
      <c r="A21" s="32" t="s">
        <v>31</v>
      </c>
      <c r="B21" s="33" t="s">
        <v>32</v>
      </c>
      <c r="C21" s="6" t="s">
        <v>33</v>
      </c>
      <c r="D21" s="20">
        <v>54.15</v>
      </c>
      <c r="E21" s="15"/>
    </row>
    <row r="22" spans="1:5" ht="15" customHeight="1">
      <c r="A22" s="30" t="s">
        <v>34</v>
      </c>
      <c r="B22" s="31" t="s">
        <v>35</v>
      </c>
      <c r="C22" s="7" t="s">
        <v>36</v>
      </c>
      <c r="D22" s="22">
        <v>0</v>
      </c>
      <c r="E22" s="15"/>
    </row>
    <row r="23" spans="1:5" ht="15" customHeight="1" thickBot="1">
      <c r="A23" s="30" t="s">
        <v>37</v>
      </c>
      <c r="B23" s="31" t="s">
        <v>38</v>
      </c>
      <c r="C23" s="7" t="s">
        <v>39</v>
      </c>
      <c r="D23" s="23">
        <v>0</v>
      </c>
      <c r="E23" s="16"/>
    </row>
    <row r="24" spans="1:5" ht="45.6" customHeight="1">
      <c r="A24" s="34" t="s">
        <v>40</v>
      </c>
      <c r="B24" s="35" t="s">
        <v>41</v>
      </c>
      <c r="C24" s="7"/>
      <c r="D24" s="23">
        <v>776.33</v>
      </c>
    </row>
    <row r="25" spans="1:5" ht="45" customHeight="1">
      <c r="A25" s="30" t="s">
        <v>42</v>
      </c>
      <c r="B25" s="31" t="s">
        <v>41</v>
      </c>
      <c r="C25" s="7"/>
      <c r="D25" s="23">
        <v>546.29</v>
      </c>
    </row>
    <row r="26" spans="1:5" ht="15" customHeight="1">
      <c r="A26" s="36" t="s">
        <v>43</v>
      </c>
      <c r="B26" s="37"/>
      <c r="C26" s="6" t="s">
        <v>44</v>
      </c>
      <c r="D26" s="24">
        <f>SUM(D31,D30)</f>
        <v>117</v>
      </c>
    </row>
    <row r="27" spans="1:5" ht="15" customHeight="1">
      <c r="A27" s="45" t="s">
        <v>45</v>
      </c>
      <c r="B27" s="46"/>
      <c r="C27" s="6"/>
      <c r="D27" s="25">
        <v>1.3</v>
      </c>
    </row>
    <row r="28" spans="1:5" ht="15" customHeight="1">
      <c r="A28" s="34" t="s">
        <v>46</v>
      </c>
      <c r="B28" s="35"/>
      <c r="C28" s="7"/>
      <c r="D28" s="22">
        <v>107</v>
      </c>
    </row>
    <row r="29" spans="1:5" ht="15" customHeight="1">
      <c r="A29" s="30" t="s">
        <v>47</v>
      </c>
      <c r="B29" s="31" t="s">
        <v>41</v>
      </c>
      <c r="C29" s="7"/>
      <c r="D29" s="22">
        <v>2</v>
      </c>
    </row>
    <row r="30" spans="1:5" ht="15" customHeight="1">
      <c r="A30" s="30" t="s">
        <v>48</v>
      </c>
      <c r="B30" s="31" t="s">
        <v>41</v>
      </c>
      <c r="C30" s="7" t="s">
        <v>49</v>
      </c>
      <c r="D30" s="22">
        <v>12</v>
      </c>
    </row>
    <row r="31" spans="1:5" ht="15" customHeight="1">
      <c r="A31" s="30" t="s">
        <v>50</v>
      </c>
      <c r="B31" s="31"/>
      <c r="C31" s="7" t="s">
        <v>51</v>
      </c>
      <c r="D31" s="22">
        <v>105</v>
      </c>
    </row>
    <row r="32" spans="1:5" ht="15" customHeight="1">
      <c r="A32" s="30" t="s">
        <v>52</v>
      </c>
      <c r="B32" s="31"/>
      <c r="C32" s="7"/>
      <c r="D32" s="22">
        <v>0</v>
      </c>
    </row>
    <row r="33" spans="1:4" ht="15" customHeight="1">
      <c r="A33" s="30" t="s">
        <v>53</v>
      </c>
      <c r="B33" s="31"/>
      <c r="C33" s="7"/>
      <c r="D33" s="22">
        <v>1312.5</v>
      </c>
    </row>
    <row r="34" spans="1:4" s="3" customFormat="1" ht="15" customHeight="1">
      <c r="A34" s="36" t="s">
        <v>54</v>
      </c>
      <c r="B34" s="37"/>
      <c r="C34" s="6" t="s">
        <v>55</v>
      </c>
      <c r="D34" s="26">
        <f>D35</f>
        <v>63</v>
      </c>
    </row>
    <row r="35" spans="1:4" ht="15" customHeight="1">
      <c r="A35" s="30" t="s">
        <v>56</v>
      </c>
      <c r="B35" s="31"/>
      <c r="C35" s="7" t="s">
        <v>57</v>
      </c>
      <c r="D35" s="22">
        <f>SUM(D36:D37)</f>
        <v>63</v>
      </c>
    </row>
    <row r="36" spans="1:4" ht="15" customHeight="1">
      <c r="A36" s="30" t="s">
        <v>58</v>
      </c>
      <c r="B36" s="31"/>
      <c r="C36" s="7"/>
      <c r="D36" s="22">
        <v>28</v>
      </c>
    </row>
    <row r="37" spans="1:4" ht="15" customHeight="1">
      <c r="A37" s="30" t="s">
        <v>59</v>
      </c>
      <c r="B37" s="31"/>
      <c r="C37" s="7"/>
      <c r="D37" s="22">
        <v>35</v>
      </c>
    </row>
    <row r="38" spans="1:4" ht="15" customHeight="1">
      <c r="A38" s="30" t="s">
        <v>60</v>
      </c>
      <c r="B38" s="31"/>
      <c r="C38" s="7"/>
      <c r="D38" s="23">
        <v>201.18</v>
      </c>
    </row>
    <row r="39" spans="1:4" ht="28.9" customHeight="1">
      <c r="A39" s="30" t="s">
        <v>61</v>
      </c>
      <c r="B39" s="31"/>
      <c r="C39" s="7"/>
      <c r="D39" s="23">
        <f>SUM(D40:D41)</f>
        <v>2472.96</v>
      </c>
    </row>
    <row r="40" spans="1:4" ht="28.9" customHeight="1">
      <c r="A40" s="51" t="s">
        <v>62</v>
      </c>
      <c r="B40" s="52"/>
      <c r="C40" s="7"/>
      <c r="D40" s="23">
        <v>2405.79</v>
      </c>
    </row>
    <row r="41" spans="1:4" ht="28.9" customHeight="1">
      <c r="A41" s="51" t="s">
        <v>63</v>
      </c>
      <c r="B41" s="52"/>
      <c r="C41" s="7"/>
      <c r="D41" s="23">
        <v>67.17</v>
      </c>
    </row>
    <row r="42" spans="1:4" ht="15" customHeight="1">
      <c r="A42" s="30" t="s">
        <v>64</v>
      </c>
      <c r="B42" s="31"/>
      <c r="C42" s="7" t="s">
        <v>65</v>
      </c>
      <c r="D42" s="22">
        <v>0</v>
      </c>
    </row>
    <row r="43" spans="1:4" ht="15" customHeight="1">
      <c r="A43" s="51" t="s">
        <v>66</v>
      </c>
      <c r="B43" s="52"/>
      <c r="C43" s="7"/>
      <c r="D43" s="23">
        <v>201.15</v>
      </c>
    </row>
    <row r="44" spans="1:4" ht="15" customHeight="1">
      <c r="A44" s="51" t="s">
        <v>67</v>
      </c>
      <c r="B44" s="52"/>
      <c r="C44" s="7"/>
      <c r="D44" s="22">
        <v>533.22</v>
      </c>
    </row>
    <row r="45" spans="1:4" ht="15" customHeight="1">
      <c r="A45" s="34" t="s">
        <v>68</v>
      </c>
      <c r="B45" s="35"/>
      <c r="C45" s="7" t="s">
        <v>69</v>
      </c>
      <c r="D45" s="22">
        <v>3</v>
      </c>
    </row>
    <row r="46" spans="1:4" ht="15" customHeight="1">
      <c r="A46" s="30" t="s">
        <v>70</v>
      </c>
      <c r="B46" s="31"/>
      <c r="C46" s="7"/>
      <c r="D46" s="17">
        <v>14.38</v>
      </c>
    </row>
    <row r="47" spans="1:4" ht="15" customHeight="1">
      <c r="A47" s="30" t="s">
        <v>71</v>
      </c>
      <c r="B47" s="31"/>
      <c r="C47" s="7"/>
      <c r="D47" s="17">
        <v>2.6</v>
      </c>
    </row>
    <row r="48" spans="1:4" ht="15" customHeight="1">
      <c r="A48" s="30" t="s">
        <v>72</v>
      </c>
      <c r="B48" s="31"/>
      <c r="C48" s="7"/>
      <c r="D48" s="17">
        <v>2.6</v>
      </c>
    </row>
    <row r="49" spans="1:4" ht="15" customHeight="1">
      <c r="A49" s="30" t="s">
        <v>73</v>
      </c>
      <c r="B49" s="31"/>
      <c r="C49" s="7"/>
      <c r="D49" s="17">
        <v>4</v>
      </c>
    </row>
    <row r="50" spans="1:4" ht="15" customHeight="1">
      <c r="A50" s="30" t="s">
        <v>74</v>
      </c>
      <c r="B50" s="31"/>
      <c r="C50" s="7"/>
      <c r="D50" s="17">
        <v>1</v>
      </c>
    </row>
    <row r="51" spans="1:4" ht="15" customHeight="1">
      <c r="A51" s="30" t="s">
        <v>75</v>
      </c>
      <c r="B51" s="31"/>
      <c r="C51" s="7" t="s">
        <v>76</v>
      </c>
      <c r="D51" s="17">
        <v>3</v>
      </c>
    </row>
    <row r="52" spans="1:4" ht="15" customHeight="1">
      <c r="A52" s="36" t="s">
        <v>77</v>
      </c>
      <c r="B52" s="37"/>
      <c r="C52" s="6" t="s">
        <v>78</v>
      </c>
      <c r="D52" s="25">
        <f>SUM(D55,D57)</f>
        <v>9908.59</v>
      </c>
    </row>
    <row r="53" spans="1:4" ht="15" customHeight="1">
      <c r="A53" s="30" t="s">
        <v>79</v>
      </c>
      <c r="B53" s="31"/>
      <c r="C53" s="7" t="s">
        <v>80</v>
      </c>
      <c r="D53" s="23">
        <v>553.07000000000005</v>
      </c>
    </row>
    <row r="54" spans="1:4" ht="15" customHeight="1">
      <c r="A54" s="36" t="s">
        <v>81</v>
      </c>
      <c r="B54" s="37"/>
      <c r="C54" s="6" t="s">
        <v>82</v>
      </c>
      <c r="D54" s="25">
        <f>SUM(D53,D52)</f>
        <v>10461.66</v>
      </c>
    </row>
    <row r="55" spans="1:4" ht="15" customHeight="1">
      <c r="A55" s="36" t="s">
        <v>83</v>
      </c>
      <c r="B55" s="37"/>
      <c r="C55" s="6" t="s">
        <v>84</v>
      </c>
      <c r="D55" s="25">
        <v>6936.09</v>
      </c>
    </row>
    <row r="56" spans="1:4" ht="26.25" customHeight="1">
      <c r="A56" s="36" t="s">
        <v>85</v>
      </c>
      <c r="B56" s="37"/>
      <c r="C56" s="6" t="s">
        <v>86</v>
      </c>
      <c r="D56" s="25">
        <f>SUM(D53,D55)</f>
        <v>7489.16</v>
      </c>
    </row>
    <row r="57" spans="1:4" ht="15" customHeight="1">
      <c r="A57" s="36" t="s">
        <v>87</v>
      </c>
      <c r="B57" s="37"/>
      <c r="C57" s="6" t="s">
        <v>88</v>
      </c>
      <c r="D57" s="25">
        <v>2972.5</v>
      </c>
    </row>
    <row r="58" spans="1:4" ht="15" customHeight="1">
      <c r="A58" s="32" t="s">
        <v>89</v>
      </c>
      <c r="B58" s="33"/>
      <c r="C58" s="7" t="s">
        <v>90</v>
      </c>
      <c r="D58" s="23">
        <v>2104</v>
      </c>
    </row>
    <row r="59" spans="1:4" ht="15" customHeight="1">
      <c r="A59" s="36" t="s">
        <v>91</v>
      </c>
      <c r="B59" s="37"/>
      <c r="C59" s="6"/>
      <c r="D59" s="25">
        <f>D17/D55</f>
        <v>0.72429856013979055</v>
      </c>
    </row>
    <row r="60" spans="1:4" ht="15" customHeight="1">
      <c r="A60" s="36" t="s">
        <v>92</v>
      </c>
      <c r="B60" s="37"/>
      <c r="C60" s="6"/>
      <c r="D60" s="25">
        <f>D17/D56</f>
        <v>0.67080954339338461</v>
      </c>
    </row>
    <row r="61" spans="1:4" ht="15" customHeight="1">
      <c r="A61" s="36" t="s">
        <v>93</v>
      </c>
      <c r="B61" s="37"/>
      <c r="C61" s="6"/>
      <c r="D61" s="25">
        <f>D17/D52</f>
        <v>0.50701462064733727</v>
      </c>
    </row>
    <row r="62" spans="1:4" ht="15" customHeight="1">
      <c r="A62" s="36" t="s">
        <v>94</v>
      </c>
      <c r="B62" s="37"/>
      <c r="C62" s="6"/>
      <c r="D62" s="25">
        <f>D17/D54</f>
        <v>0.48021059755335199</v>
      </c>
    </row>
    <row r="63" spans="1:4" ht="15" customHeight="1">
      <c r="A63" s="49" t="s">
        <v>95</v>
      </c>
      <c r="B63" s="50"/>
      <c r="C63" s="6"/>
      <c r="D63" s="25">
        <f>D57/D31</f>
        <v>28.30952380952381</v>
      </c>
    </row>
    <row r="64" spans="1:4" ht="15" customHeight="1">
      <c r="A64" s="49" t="s">
        <v>96</v>
      </c>
      <c r="B64" s="50"/>
      <c r="C64" s="6"/>
      <c r="D64" s="25">
        <f>D17/D5</f>
        <v>0.85796259926564766</v>
      </c>
    </row>
    <row r="65" spans="1:4" ht="15" customHeight="1">
      <c r="A65" s="49" t="s">
        <v>97</v>
      </c>
      <c r="B65" s="50"/>
      <c r="C65" s="6"/>
      <c r="D65" s="25">
        <f>D17/D43</f>
        <v>24.975391498881432</v>
      </c>
    </row>
    <row r="66" spans="1:4" ht="15" customHeight="1">
      <c r="A66" s="36" t="s">
        <v>95</v>
      </c>
      <c r="B66" s="37"/>
      <c r="C66" s="6"/>
      <c r="D66" s="25">
        <f>D57/D31</f>
        <v>28.30952380952381</v>
      </c>
    </row>
    <row r="67" spans="1:4" ht="15" customHeight="1">
      <c r="A67" s="36" t="s">
        <v>98</v>
      </c>
      <c r="B67" s="37"/>
      <c r="C67" s="6"/>
      <c r="D67" s="25">
        <f>D19/D51</f>
        <v>29.666666666666668</v>
      </c>
    </row>
    <row r="68" spans="1:4" ht="15" customHeight="1">
      <c r="A68" s="36" t="s">
        <v>99</v>
      </c>
      <c r="B68" s="37"/>
      <c r="C68" s="6"/>
      <c r="D68" s="25">
        <f>D52/D57</f>
        <v>3.3334196804037006</v>
      </c>
    </row>
    <row r="69" spans="1:4" ht="15" customHeight="1">
      <c r="A69" s="36" t="s">
        <v>100</v>
      </c>
      <c r="B69" s="37"/>
      <c r="C69" s="6"/>
      <c r="D69" s="25">
        <f>D19/D45</f>
        <v>29.666666666666668</v>
      </c>
    </row>
    <row r="70" spans="1:4" ht="15" customHeight="1" thickBot="1">
      <c r="A70" s="47" t="s">
        <v>101</v>
      </c>
      <c r="B70" s="48"/>
      <c r="C70" s="8"/>
      <c r="D70" s="29">
        <f>D58/D17</f>
        <v>0.41880648114972729</v>
      </c>
    </row>
  </sheetData>
  <mergeCells count="68">
    <mergeCell ref="A46:B46"/>
    <mergeCell ref="A47:B47"/>
    <mergeCell ref="A48:B48"/>
    <mergeCell ref="A49:B49"/>
    <mergeCell ref="A39:B39"/>
    <mergeCell ref="A42:B42"/>
    <mergeCell ref="A41:B41"/>
    <mergeCell ref="A40:B40"/>
    <mergeCell ref="A45:B45"/>
    <mergeCell ref="A43:B43"/>
    <mergeCell ref="A44:B44"/>
    <mergeCell ref="A66:B66"/>
    <mergeCell ref="A50:B50"/>
    <mergeCell ref="A51:B51"/>
    <mergeCell ref="A52:B52"/>
    <mergeCell ref="A53:B53"/>
    <mergeCell ref="A54:B54"/>
    <mergeCell ref="A38:B38"/>
    <mergeCell ref="A70:B70"/>
    <mergeCell ref="A55:B55"/>
    <mergeCell ref="A57:B57"/>
    <mergeCell ref="A58:B58"/>
    <mergeCell ref="A59:B59"/>
    <mergeCell ref="A56:B56"/>
    <mergeCell ref="A67:B67"/>
    <mergeCell ref="A68:B68"/>
    <mergeCell ref="A69:B69"/>
    <mergeCell ref="A60:B60"/>
    <mergeCell ref="A61:B61"/>
    <mergeCell ref="A62:B62"/>
    <mergeCell ref="A63:B63"/>
    <mergeCell ref="A64:B64"/>
    <mergeCell ref="A65:B65"/>
    <mergeCell ref="A33:B33"/>
    <mergeCell ref="A34:B34"/>
    <mergeCell ref="A35:B35"/>
    <mergeCell ref="A36:B36"/>
    <mergeCell ref="A37:B37"/>
    <mergeCell ref="A29:B29"/>
    <mergeCell ref="A30:B30"/>
    <mergeCell ref="A27:B27"/>
    <mergeCell ref="A31:B31"/>
    <mergeCell ref="A32:B32"/>
    <mergeCell ref="A3:D3"/>
    <mergeCell ref="A24:B24"/>
    <mergeCell ref="A25:B25"/>
    <mergeCell ref="A26:B26"/>
    <mergeCell ref="A28:B28"/>
    <mergeCell ref="A8:B8"/>
    <mergeCell ref="A9:B9"/>
    <mergeCell ref="A12:B12"/>
    <mergeCell ref="A13:B13"/>
    <mergeCell ref="A4:B4"/>
    <mergeCell ref="A5:B5"/>
    <mergeCell ref="A6:B6"/>
    <mergeCell ref="A7:B7"/>
    <mergeCell ref="A10:B10"/>
    <mergeCell ref="A11:B11"/>
    <mergeCell ref="A14:B14"/>
    <mergeCell ref="A20:B20"/>
    <mergeCell ref="A21:B21"/>
    <mergeCell ref="A22:B22"/>
    <mergeCell ref="A23:B23"/>
    <mergeCell ref="A15:B15"/>
    <mergeCell ref="A16:B16"/>
    <mergeCell ref="A17:B17"/>
    <mergeCell ref="A18:B18"/>
    <mergeCell ref="A19:B19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47C8B7DD6139409F3CF5FB5A0A533F" ma:contentTypeVersion="12" ma:contentTypeDescription="Utwórz nowy dokument." ma:contentTypeScope="" ma:versionID="a16f88f5fa5f481fe2fa8024d788b56d">
  <xsd:schema xmlns:xsd="http://www.w3.org/2001/XMLSchema" xmlns:xs="http://www.w3.org/2001/XMLSchema" xmlns:p="http://schemas.microsoft.com/office/2006/metadata/properties" xmlns:ns2="9781d216-b2c9-417e-a01c-5d456e10a878" xmlns:ns3="bc324acb-c45a-42bf-ae95-92d1a2f8511f" targetNamespace="http://schemas.microsoft.com/office/2006/metadata/properties" ma:root="true" ma:fieldsID="dbbd606beb780d16f56b94ed51d28507" ns2:_="" ns3:_="">
    <xsd:import namespace="9781d216-b2c9-417e-a01c-5d456e10a878"/>
    <xsd:import namespace="bc324acb-c45a-42bf-ae95-92d1a2f85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1d216-b2c9-417e-a01c-5d456e10a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2a97af7-0e00-4b29-b882-efa34e77d4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24acb-c45a-42bf-ae95-92d1a2f8511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b2dd0de-fd76-488b-8f28-259402c65ba5}" ma:internalName="TaxCatchAll" ma:showField="CatchAllData" ma:web="bc324acb-c45a-42bf-ae95-92d1a2f85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81d216-b2c9-417e-a01c-5d456e10a878">
      <Terms xmlns="http://schemas.microsoft.com/office/infopath/2007/PartnerControls"/>
    </lcf76f155ced4ddcb4097134ff3c332f>
    <TaxCatchAll xmlns="bc324acb-c45a-42bf-ae95-92d1a2f851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232AB-6B40-4137-B7FD-DA720796B977}"/>
</file>

<file path=customXml/itemProps2.xml><?xml version="1.0" encoding="utf-8"?>
<ds:datastoreItem xmlns:ds="http://schemas.openxmlformats.org/officeDocument/2006/customXml" ds:itemID="{3320A930-AB36-4A6E-803B-B3A56445927D}"/>
</file>

<file path=customXml/itemProps3.xml><?xml version="1.0" encoding="utf-8"?>
<ds:datastoreItem xmlns:ds="http://schemas.openxmlformats.org/officeDocument/2006/customXml" ds:itemID="{8FEA0B15-1C5E-40BE-BDC1-FD9CC9D0C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cp:keywords/>
  <dc:description/>
  <cp:lastModifiedBy>Karolina Kokoszyńska</cp:lastModifiedBy>
  <cp:revision/>
  <dcterms:created xsi:type="dcterms:W3CDTF">2022-09-09T11:27:41Z</dcterms:created>
  <dcterms:modified xsi:type="dcterms:W3CDTF">2026-01-30T09:56:29Z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0x0101001747C8B7DD6139409F3CF5FB5A0A533F</vt:lpwstr>
  </property>
  <property fmtid="{D5CDD505-2E9C-101B-9397-08002B2CF9AE}" pid="3" name="MediaServiceImageTags">
    <vt:lpwstr/>
  </property>
</Properties>
</file>