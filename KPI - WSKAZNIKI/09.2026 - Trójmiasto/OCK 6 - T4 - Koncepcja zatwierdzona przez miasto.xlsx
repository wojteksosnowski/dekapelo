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65" documentId="13_ncr:1_{A22CF93E-D6EF-4604-BA7C-110CA58E0C89}" xr6:coauthVersionLast="47" xr6:coauthVersionMax="47" xr10:uidLastSave="{095F7C77-5CC7-46AC-87B4-C9D08DD45A7F}"/>
  <bookViews>
    <workbookView xWindow="29640" yWindow="4185" windowWidth="21600" windowHeight="11295" xr2:uid="{ED30A6B7-E784-4688-9B81-61E6F542048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9" i="1"/>
  <c r="D4" i="1"/>
  <c r="H59" i="1"/>
  <c r="I59" i="1"/>
  <c r="J59" i="1"/>
  <c r="K59" i="1"/>
  <c r="L59" i="1"/>
  <c r="M59" i="1"/>
  <c r="N59" i="1"/>
  <c r="O59" i="1"/>
  <c r="G59" i="1"/>
  <c r="H57" i="1"/>
  <c r="I57" i="1"/>
  <c r="J57" i="1"/>
  <c r="K57" i="1"/>
  <c r="L57" i="1"/>
  <c r="M57" i="1"/>
  <c r="N57" i="1"/>
  <c r="O57" i="1"/>
  <c r="G57" i="1"/>
  <c r="H56" i="1"/>
  <c r="I56" i="1"/>
  <c r="J56" i="1"/>
  <c r="K56" i="1"/>
  <c r="L56" i="1"/>
  <c r="M56" i="1"/>
  <c r="N56" i="1"/>
  <c r="O56" i="1"/>
  <c r="G56" i="1"/>
  <c r="H51" i="1"/>
  <c r="I51" i="1"/>
  <c r="J51" i="1"/>
  <c r="K51" i="1"/>
  <c r="L51" i="1"/>
  <c r="M51" i="1"/>
  <c r="N51" i="1"/>
  <c r="O51" i="1"/>
  <c r="G51" i="1"/>
  <c r="O47" i="1"/>
  <c r="O27" i="1" l="1"/>
  <c r="O17" i="1"/>
</calcChain>
</file>

<file path=xl/sharedStrings.xml><?xml version="1.0" encoding="utf-8"?>
<sst xmlns="http://schemas.openxmlformats.org/spreadsheetml/2006/main" count="108" uniqueCount="102">
  <si>
    <t>parametr</t>
  </si>
  <si>
    <t>opis</t>
  </si>
  <si>
    <t>projekt budowlany</t>
  </si>
  <si>
    <t>projekt wykonawczy (sprzedaż)</t>
  </si>
  <si>
    <t>TEREN 4</t>
  </si>
  <si>
    <t>TEREN 5</t>
  </si>
  <si>
    <t>TEREN 6</t>
  </si>
  <si>
    <t>TEREN 7</t>
  </si>
  <si>
    <t>TEREN 8</t>
  </si>
  <si>
    <t>TEREN 9</t>
  </si>
  <si>
    <t>TEREN 10</t>
  </si>
  <si>
    <t>TEREN 11 i 12</t>
  </si>
  <si>
    <t>TEREN 13 i 14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</si>
  <si>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</si>
  <si>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</si>
  <si>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</si>
  <si>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</si>
  <si>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</si>
  <si>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</si>
  <si>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</si>
  <si>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</si>
  <si>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</si>
  <si>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</si>
  <si>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</si>
  <si>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</si>
  <si>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</si>
  <si>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</si>
  <si>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</si>
  <si>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</si>
  <si>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</si>
  <si>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</si>
  <si>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</si>
  <si>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</si>
  <si>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</si>
  <si>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</si>
  <si>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</si>
  <si>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</si>
  <si>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</si>
  <si>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</si>
  <si>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</si>
  <si>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</si>
  <si>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</si>
  <si>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</si>
  <si>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</si>
  <si>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</si>
  <si>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</si>
  <si>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</si>
  <si>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</si>
  <si>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</si>
  <si>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</si>
  <si>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</si>
  <si>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</si>
  <si>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</si>
  <si>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</si>
  <si>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</si>
  <si>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</si>
  <si>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</si>
  <si>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</si>
  <si>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</si>
  <si>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</si>
  <si>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</si>
  <si>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</si>
  <si>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</si>
  <si>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</si>
  <si>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</si>
  <si>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</si>
  <si>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</si>
  <si>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</si>
  <si>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</si>
  <si>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</si>
  <si>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</si>
  <si>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</si>
  <si>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</si>
  <si>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</si>
  <si>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</si>
  <si>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</si>
  <si>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</si>
  <si>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</si>
  <si>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</si>
  <si>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</si>
  <si>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</si>
  <si>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</si>
  <si>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</si>
  <si>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</si>
  <si>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</si>
  <si>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</si>
  <si>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</si>
  <si>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</si>
  <si>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</si>
  <si>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</si>
  <si>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</si>
  <si>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</si>
  <si>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</si>
  <si>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</si>
  <si>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</si>
  <si>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</si>
  <si>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</si>
  <si>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</si>
  <si>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</si>
  <si>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Razem</t>
  </si>
  <si>
    <t>3 lub 4</t>
  </si>
  <si>
    <t>Załącznik nr 26 Tabela parametrów inwestycji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</si>
</sst>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Times New Roman CE"/>
    </font>
    <font>
      <sz val="10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0" fontId="4" fillId="3" borderId="1" xfId="0" applyNumberFormat="1" applyFont="1" applyFill="1" applyBorder="1" applyAlignment="1">
      <alignment vertical="center" wrapText="1"/>
    </xf>
    <xf numFmtId="10" fontId="0" fillId="3" borderId="1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10" fontId="0" fillId="0" borderId="1" xfId="0" applyNumberFormat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9" fontId="4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" fillId="4" borderId="1" xfId="0" applyFont="1" applyFill="1" applyBorder="1"/>
    <xf numFmtId="0" fontId="1" fillId="0" borderId="0" xfId="0" applyFont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0" fontId="7" fillId="4" borderId="1" xfId="0" applyFont="1" applyFill="1" applyBorder="1"/>
    <xf numFmtId="164" fontId="0" fillId="5" borderId="1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64" fontId="6" fillId="4" borderId="1" xfId="1" applyNumberFormat="1" applyFont="1" applyFill="1" applyBorder="1"/>
    <xf numFmtId="164" fontId="0" fillId="4" borderId="0" xfId="0" applyNumberFormat="1" applyFill="1"/>
    <xf numFmtId="164" fontId="6" fillId="4" borderId="3" xfId="1" applyNumberFormat="1" applyFont="1" applyFill="1" applyBorder="1" applyAlignment="1">
      <alignment vertical="center"/>
    </xf>
    <xf numFmtId="16" fontId="0" fillId="0" borderId="1" xfId="0" applyNumberFormat="1" applyBorder="1"/>
    <xf numFmtId="165" fontId="0" fillId="5" borderId="1" xfId="0" applyNumberForma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/>
    </xf>
  </cellXfs>
  <cellStyles count="2">
    <cellStyle name="Normalny" xfId="0" builtinId="0"/>
    <cellStyle name="Normalny 2" xfId="1" xr:uid="{10E08318-FE43-4ABE-B2DD-CB80D1AE7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FA0-9466-4EB3-8604-EA698DC1CC2A}">
  <sheetPr>
    <pageSetUpPr fitToPage="1"/>
  </sheetPr>
  <dimension ref="A1:O63"/>
  <sheetViews>
    <sheetView tabSelected="1" zoomScale="85" zoomScaleNormal="85" workbookViewId="0">
      <selection activeCell="Q8" sqref="Q8"/>
    </sheetView>
  </sheetViews>
  <sheetFormatPr defaultRowHeight="15" x14ac:dyDescent="0.25"/>
  <cols>
    <col min="1" max="1" width="16.42578125" customWidth="1"/>
    <col min="2" max="2" width="51.7109375" style="44" customWidth="1"/>
    <col min="3" max="3" width="10.28515625" style="45" customWidth="1"/>
    <col min="4" max="4" width="16.7109375" style="45" customWidth="1"/>
    <col min="5" max="6" width="16.7109375" hidden="1" customWidth="1"/>
    <col min="7" max="7" width="13.28515625" customWidth="1"/>
    <col min="8" max="15" width="13" hidden="1" customWidth="1"/>
  </cols>
  <sheetData>
    <row r="1" spans="1:15" x14ac:dyDescent="0.25">
      <c r="B1"/>
      <c r="C1"/>
      <c r="D1"/>
    </row>
    <row r="2" spans="1:15" ht="27" customHeight="1" x14ac:dyDescent="0.25">
      <c r="A2" s="64" t="s">
        <v>101</v>
      </c>
      <c r="B2" s="64"/>
      <c r="C2" s="64"/>
      <c r="D2" s="64"/>
      <c r="E2" s="64"/>
      <c r="F2" s="64"/>
      <c r="G2" s="1"/>
      <c r="H2" s="1"/>
      <c r="I2" s="1"/>
      <c r="J2" s="1"/>
      <c r="K2" s="1"/>
      <c r="L2" s="1"/>
      <c r="M2" s="1"/>
      <c r="N2" s="1"/>
      <c r="O2" s="1"/>
    </row>
    <row r="3" spans="1:15" ht="43.15" customHeight="1" x14ac:dyDescent="0.25">
      <c r="A3" s="65" t="s">
        <v>0</v>
      </c>
      <c r="B3" s="65"/>
      <c r="C3" s="3" t="s">
        <v>1</v>
      </c>
      <c r="D3" s="3" t="s">
        <v>99</v>
      </c>
      <c r="E3" s="2" t="s">
        <v>2</v>
      </c>
      <c r="F3" s="4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2" t="s">
        <v>11</v>
      </c>
      <c r="O3" s="2" t="s">
        <v>12</v>
      </c>
    </row>
    <row r="4" spans="1:15" ht="15" customHeight="1" x14ac:dyDescent="0.25">
      <c r="A4" s="62" t="s">
        <v>13</v>
      </c>
      <c r="B4" s="62" t="s">
        <v>14</v>
      </c>
      <c r="C4" s="6" t="s">
        <v>15</v>
      </c>
      <c r="D4" s="7">
        <f>G4</f>
        <v>6708</v>
      </c>
      <c r="E4" s="8"/>
      <c r="F4" s="9"/>
      <c r="G4" s="10">
        <v>6708</v>
      </c>
      <c r="H4" s="11">
        <v>1165</v>
      </c>
      <c r="I4" s="11">
        <v>1284</v>
      </c>
      <c r="J4" s="11">
        <v>2419</v>
      </c>
      <c r="K4" s="11">
        <v>3993</v>
      </c>
      <c r="L4" s="11">
        <v>6416</v>
      </c>
      <c r="M4" s="11">
        <v>4297</v>
      </c>
      <c r="N4" s="12">
        <v>4942</v>
      </c>
      <c r="O4" s="12">
        <v>1000</v>
      </c>
    </row>
    <row r="5" spans="1:15" ht="15" customHeight="1" x14ac:dyDescent="0.25">
      <c r="A5" s="62" t="s">
        <v>16</v>
      </c>
      <c r="B5" s="62"/>
      <c r="C5" s="6"/>
      <c r="D5" s="3"/>
      <c r="E5" s="2"/>
      <c r="F5" s="4"/>
      <c r="G5" s="13">
        <v>0.25330000000000003</v>
      </c>
      <c r="H5" s="14">
        <v>0.39860000000000001</v>
      </c>
      <c r="I5" s="14">
        <v>0.22570000000000001</v>
      </c>
      <c r="J5" s="15">
        <v>0.3</v>
      </c>
      <c r="K5" s="14">
        <v>0.28349999999999997</v>
      </c>
      <c r="L5" s="14">
        <v>0.30780000000000002</v>
      </c>
      <c r="M5" s="14">
        <v>0.40239999999999998</v>
      </c>
      <c r="N5" s="16">
        <v>0.38</v>
      </c>
      <c r="O5" s="17">
        <v>0.46650000000000003</v>
      </c>
    </row>
    <row r="6" spans="1:15" ht="15" customHeight="1" x14ac:dyDescent="0.25">
      <c r="A6" s="62" t="s">
        <v>17</v>
      </c>
      <c r="B6" s="62"/>
      <c r="C6" s="6"/>
      <c r="D6" s="3"/>
      <c r="E6" s="2"/>
      <c r="F6" s="4"/>
      <c r="G6" s="18"/>
      <c r="H6" s="19"/>
      <c r="I6" s="19"/>
      <c r="J6" s="19"/>
      <c r="K6" s="19"/>
      <c r="L6" s="19"/>
      <c r="M6" s="19"/>
      <c r="N6" s="20"/>
      <c r="O6" s="20"/>
    </row>
    <row r="7" spans="1:15" ht="15" customHeight="1" x14ac:dyDescent="0.25">
      <c r="A7" s="61" t="s">
        <v>18</v>
      </c>
      <c r="B7" s="61"/>
      <c r="C7" s="6"/>
      <c r="D7" s="3"/>
      <c r="E7" s="2"/>
      <c r="F7" s="4"/>
      <c r="G7" s="18"/>
      <c r="H7" s="19"/>
      <c r="I7" s="19"/>
      <c r="J7" s="19"/>
      <c r="K7" s="19"/>
      <c r="L7" s="19"/>
      <c r="M7" s="19"/>
      <c r="N7" s="20"/>
      <c r="O7" s="20"/>
    </row>
    <row r="8" spans="1:15" ht="15" customHeight="1" x14ac:dyDescent="0.25">
      <c r="A8" s="61" t="s">
        <v>19</v>
      </c>
      <c r="B8" s="61"/>
      <c r="C8" s="6"/>
      <c r="D8" s="3"/>
      <c r="E8" s="2"/>
      <c r="F8" s="4"/>
      <c r="G8" s="18"/>
      <c r="H8" s="19"/>
      <c r="I8" s="19"/>
      <c r="J8" s="19"/>
      <c r="K8" s="19"/>
      <c r="L8" s="19"/>
      <c r="M8" s="19"/>
      <c r="N8" s="20"/>
      <c r="O8" s="20"/>
    </row>
    <row r="9" spans="1:15" ht="15" customHeight="1" x14ac:dyDescent="0.25">
      <c r="A9" s="62" t="s">
        <v>20</v>
      </c>
      <c r="B9" s="62"/>
      <c r="C9" s="6"/>
      <c r="D9" s="7">
        <f>G9</f>
        <v>3827.19</v>
      </c>
      <c r="E9" s="8"/>
      <c r="F9" s="9"/>
      <c r="G9" s="10">
        <v>3827.19</v>
      </c>
      <c r="H9" s="11">
        <v>359.84</v>
      </c>
      <c r="I9" s="11">
        <v>587.37</v>
      </c>
      <c r="J9" s="11">
        <v>996.42</v>
      </c>
      <c r="K9" s="11">
        <v>1581.4</v>
      </c>
      <c r="L9" s="11">
        <v>2205.89</v>
      </c>
      <c r="M9" s="11">
        <v>1363</v>
      </c>
      <c r="N9" s="12">
        <v>1523.11</v>
      </c>
      <c r="O9" s="12">
        <v>390.2</v>
      </c>
    </row>
    <row r="10" spans="1:15" ht="15" customHeight="1" x14ac:dyDescent="0.25">
      <c r="A10" s="61" t="s">
        <v>21</v>
      </c>
      <c r="B10" s="61"/>
      <c r="C10" s="6"/>
      <c r="D10" s="3"/>
      <c r="E10" s="2"/>
      <c r="F10" s="4"/>
      <c r="G10" s="18"/>
      <c r="H10" s="19"/>
      <c r="I10" s="19"/>
      <c r="J10" s="19"/>
      <c r="K10" s="19"/>
      <c r="L10" s="19"/>
      <c r="M10" s="19"/>
      <c r="N10" s="20"/>
      <c r="O10" s="20"/>
    </row>
    <row r="11" spans="1:15" ht="15" customHeight="1" x14ac:dyDescent="0.25">
      <c r="A11" s="61" t="s">
        <v>22</v>
      </c>
      <c r="B11" s="61"/>
      <c r="C11" s="6"/>
      <c r="D11" s="3"/>
      <c r="E11" s="2"/>
      <c r="F11" s="4"/>
      <c r="G11" s="18"/>
      <c r="H11" s="19"/>
      <c r="I11" s="19"/>
      <c r="J11" s="19"/>
      <c r="K11" s="19"/>
      <c r="L11" s="19"/>
      <c r="M11" s="19"/>
      <c r="N11" s="20"/>
      <c r="O11" s="20"/>
    </row>
    <row r="12" spans="1:15" ht="15" customHeight="1" x14ac:dyDescent="0.25">
      <c r="A12" s="61" t="s">
        <v>23</v>
      </c>
      <c r="B12" s="61"/>
      <c r="C12" s="6"/>
      <c r="D12" s="3"/>
      <c r="E12" s="2"/>
      <c r="F12" s="4"/>
      <c r="G12" s="18"/>
      <c r="H12" s="19"/>
      <c r="I12" s="19"/>
      <c r="J12" s="19"/>
      <c r="K12" s="19"/>
      <c r="L12" s="19"/>
      <c r="M12" s="19"/>
      <c r="N12" s="20"/>
      <c r="O12" s="20"/>
    </row>
    <row r="13" spans="1:15" ht="15" customHeight="1" x14ac:dyDescent="0.25">
      <c r="A13" s="62" t="s">
        <v>24</v>
      </c>
      <c r="B13" s="62"/>
      <c r="C13" s="6"/>
      <c r="D13" s="3"/>
      <c r="E13" s="2"/>
      <c r="F13" s="4"/>
      <c r="G13" s="21">
        <v>0.56999999999999995</v>
      </c>
      <c r="H13" s="14">
        <v>0.309</v>
      </c>
      <c r="I13" s="14">
        <v>0.45739999999999997</v>
      </c>
      <c r="J13" s="14">
        <v>0.41189999999999999</v>
      </c>
      <c r="K13" s="14">
        <v>0.39600000000000002</v>
      </c>
      <c r="L13" s="14">
        <v>0.34379999999999999</v>
      </c>
      <c r="M13" s="14">
        <v>0.31719999999999998</v>
      </c>
      <c r="N13" s="16">
        <v>0.31</v>
      </c>
      <c r="O13" s="16">
        <v>0.3</v>
      </c>
    </row>
    <row r="14" spans="1:15" ht="15" customHeight="1" x14ac:dyDescent="0.25">
      <c r="A14" s="60" t="s">
        <v>25</v>
      </c>
      <c r="B14" s="60"/>
      <c r="C14" s="22" t="s">
        <v>26</v>
      </c>
      <c r="D14" s="66">
        <f>G14</f>
        <v>6742.07</v>
      </c>
      <c r="E14" s="50"/>
      <c r="F14" s="51"/>
      <c r="G14" s="52">
        <v>6742.07</v>
      </c>
      <c r="H14" s="52">
        <v>1665.79</v>
      </c>
      <c r="I14" s="52">
        <v>1011.54</v>
      </c>
      <c r="J14" s="52">
        <v>1142.25</v>
      </c>
      <c r="K14" s="52">
        <v>2255.66</v>
      </c>
      <c r="L14" s="52">
        <v>6067.67</v>
      </c>
      <c r="M14" s="53">
        <v>4608.8500000000004</v>
      </c>
      <c r="N14" s="52">
        <v>4608.8500000000004</v>
      </c>
      <c r="O14" s="54">
        <v>941</v>
      </c>
    </row>
    <row r="15" spans="1:15" ht="15" customHeight="1" x14ac:dyDescent="0.25">
      <c r="A15" s="60" t="s">
        <v>27</v>
      </c>
      <c r="B15" s="60"/>
      <c r="C15" s="22" t="s">
        <v>28</v>
      </c>
      <c r="D15" s="22"/>
      <c r="E15" s="23"/>
      <c r="F15" s="24"/>
      <c r="G15" s="23"/>
      <c r="H15" s="25"/>
      <c r="I15" s="25"/>
      <c r="J15" s="25"/>
      <c r="K15" s="25"/>
      <c r="L15" s="25"/>
      <c r="M15" s="25"/>
      <c r="N15" s="25"/>
      <c r="O15" s="25"/>
    </row>
    <row r="16" spans="1:15" ht="15" customHeight="1" x14ac:dyDescent="0.25">
      <c r="A16" s="61" t="s">
        <v>29</v>
      </c>
      <c r="B16" s="61" t="s">
        <v>14</v>
      </c>
      <c r="C16" s="26" t="s">
        <v>30</v>
      </c>
      <c r="D16" s="26"/>
      <c r="E16" s="27"/>
      <c r="F16" s="28"/>
      <c r="G16" s="29">
        <v>120</v>
      </c>
      <c r="H16" s="19">
        <v>20</v>
      </c>
      <c r="I16" s="19">
        <v>19</v>
      </c>
      <c r="J16" s="19">
        <v>12</v>
      </c>
      <c r="K16" s="19">
        <v>37</v>
      </c>
      <c r="L16" s="19">
        <v>94</v>
      </c>
      <c r="M16" s="19">
        <v>72</v>
      </c>
      <c r="N16" s="20">
        <v>89</v>
      </c>
      <c r="O16" s="20">
        <v>11</v>
      </c>
    </row>
    <row r="17" spans="1:15" ht="15" customHeight="1" x14ac:dyDescent="0.25">
      <c r="A17" s="61" t="s">
        <v>31</v>
      </c>
      <c r="B17" s="61" t="s">
        <v>32</v>
      </c>
      <c r="C17" s="26" t="s">
        <v>33</v>
      </c>
      <c r="D17" s="26"/>
      <c r="E17" s="27"/>
      <c r="F17" s="28"/>
      <c r="G17" s="29">
        <v>5917</v>
      </c>
      <c r="H17" s="19">
        <v>1449.66</v>
      </c>
      <c r="I17" s="19">
        <v>1011.54</v>
      </c>
      <c r="J17" s="19">
        <v>929.57</v>
      </c>
      <c r="K17" s="19">
        <v>1909.08</v>
      </c>
      <c r="L17" s="19">
        <v>5300.67</v>
      </c>
      <c r="M17" s="19">
        <v>3955.94</v>
      </c>
      <c r="N17" s="20">
        <v>4273</v>
      </c>
      <c r="O17" s="20">
        <f>372.72+440.4</f>
        <v>813.12</v>
      </c>
    </row>
    <row r="18" spans="1:15" ht="15" customHeight="1" x14ac:dyDescent="0.25">
      <c r="A18" s="63" t="s">
        <v>34</v>
      </c>
      <c r="B18" s="63" t="s">
        <v>35</v>
      </c>
      <c r="C18" s="22" t="s">
        <v>36</v>
      </c>
      <c r="D18" s="22"/>
      <c r="E18" s="30"/>
      <c r="F18" s="31"/>
      <c r="G18" s="30"/>
      <c r="H18" s="25"/>
      <c r="I18" s="25"/>
      <c r="J18" s="25"/>
      <c r="K18" s="25"/>
      <c r="L18" s="25"/>
      <c r="M18" s="25"/>
      <c r="N18" s="25"/>
      <c r="O18" s="25"/>
    </row>
    <row r="19" spans="1:15" ht="15" customHeight="1" x14ac:dyDescent="0.25">
      <c r="A19" s="61" t="s">
        <v>37</v>
      </c>
      <c r="B19" s="61" t="s">
        <v>38</v>
      </c>
      <c r="C19" s="26" t="s">
        <v>39</v>
      </c>
      <c r="D19" s="26"/>
      <c r="E19" s="27"/>
      <c r="F19" s="28"/>
      <c r="G19" s="29"/>
      <c r="H19" s="19"/>
      <c r="I19" s="19"/>
      <c r="J19" s="19"/>
      <c r="K19" s="19"/>
      <c r="L19" s="19"/>
      <c r="M19" s="19"/>
      <c r="N19" s="20"/>
      <c r="O19" s="20"/>
    </row>
    <row r="20" spans="1:15" ht="15" customHeight="1" x14ac:dyDescent="0.25">
      <c r="A20" s="61" t="s">
        <v>40</v>
      </c>
      <c r="B20" s="61" t="s">
        <v>41</v>
      </c>
      <c r="C20" s="26" t="s">
        <v>42</v>
      </c>
      <c r="D20" s="26"/>
      <c r="E20" s="27"/>
      <c r="F20" s="28"/>
      <c r="G20" s="29">
        <v>824.93</v>
      </c>
      <c r="H20" s="19">
        <v>216.13</v>
      </c>
      <c r="I20" s="19">
        <v>0</v>
      </c>
      <c r="J20" s="19">
        <v>212.68</v>
      </c>
      <c r="K20" s="19">
        <v>346.58</v>
      </c>
      <c r="L20" s="19">
        <v>767</v>
      </c>
      <c r="M20" s="19">
        <v>652.91</v>
      </c>
      <c r="N20" s="20">
        <v>292.3</v>
      </c>
      <c r="O20" s="20">
        <v>128.04</v>
      </c>
    </row>
    <row r="21" spans="1:15" ht="15" customHeight="1" x14ac:dyDescent="0.25">
      <c r="A21" s="62" t="s">
        <v>43</v>
      </c>
      <c r="B21" s="62" t="s">
        <v>44</v>
      </c>
      <c r="C21" s="26"/>
      <c r="D21" s="26"/>
      <c r="E21" s="26"/>
      <c r="F21" s="32"/>
      <c r="G21" s="33"/>
      <c r="H21" s="19"/>
      <c r="I21" s="19"/>
      <c r="J21" s="19"/>
      <c r="K21" s="19"/>
      <c r="L21" s="19"/>
      <c r="M21" s="19"/>
      <c r="N21" s="20"/>
      <c r="O21" s="20"/>
    </row>
    <row r="22" spans="1:15" ht="45" customHeight="1" x14ac:dyDescent="0.25">
      <c r="A22" s="61" t="s">
        <v>45</v>
      </c>
      <c r="B22" s="61" t="s">
        <v>44</v>
      </c>
      <c r="C22" s="26"/>
      <c r="D22" s="26"/>
      <c r="E22" s="26"/>
      <c r="F22" s="32"/>
      <c r="G22" s="33"/>
      <c r="H22" s="19"/>
      <c r="I22" s="19"/>
      <c r="J22" s="19"/>
      <c r="K22" s="19"/>
      <c r="L22" s="19"/>
      <c r="M22" s="19"/>
      <c r="N22" s="20"/>
      <c r="O22" s="20"/>
    </row>
    <row r="23" spans="1:15" ht="15" customHeight="1" x14ac:dyDescent="0.25">
      <c r="A23" s="60" t="s">
        <v>46</v>
      </c>
      <c r="B23" s="60"/>
      <c r="C23" s="22" t="s">
        <v>47</v>
      </c>
      <c r="D23" s="22"/>
      <c r="E23" s="23"/>
      <c r="F23" s="24"/>
      <c r="G23" s="23"/>
      <c r="H23" s="25"/>
      <c r="I23" s="25"/>
      <c r="J23" s="25"/>
      <c r="K23" s="25"/>
      <c r="L23" s="25"/>
      <c r="M23" s="25"/>
      <c r="N23" s="25"/>
      <c r="O23" s="25"/>
    </row>
    <row r="24" spans="1:15" ht="15" customHeight="1" x14ac:dyDescent="0.25">
      <c r="A24" s="62" t="s">
        <v>48</v>
      </c>
      <c r="B24" s="62"/>
      <c r="C24" s="26"/>
      <c r="D24" s="26"/>
      <c r="E24" s="34"/>
      <c r="F24" s="35"/>
      <c r="G24" s="36"/>
      <c r="H24" s="19"/>
      <c r="I24" s="19"/>
      <c r="J24" s="19"/>
      <c r="K24" s="19"/>
      <c r="L24" s="19"/>
      <c r="M24" s="19"/>
      <c r="N24" s="20"/>
      <c r="O24" s="20"/>
    </row>
    <row r="25" spans="1:15" ht="15" customHeight="1" x14ac:dyDescent="0.25">
      <c r="A25" s="61" t="s">
        <v>49</v>
      </c>
      <c r="B25" s="61" t="s">
        <v>44</v>
      </c>
      <c r="C25" s="26"/>
      <c r="D25" s="26"/>
      <c r="E25" s="26"/>
      <c r="F25" s="28"/>
      <c r="G25" s="29">
        <v>0</v>
      </c>
      <c r="H25" s="19">
        <v>0</v>
      </c>
      <c r="I25" s="19">
        <v>0</v>
      </c>
      <c r="J25" s="19">
        <v>1</v>
      </c>
      <c r="K25" s="19">
        <v>0</v>
      </c>
      <c r="L25" s="19">
        <v>0</v>
      </c>
      <c r="M25" s="19">
        <v>0</v>
      </c>
      <c r="N25" s="20">
        <v>5</v>
      </c>
      <c r="O25" s="20">
        <v>0</v>
      </c>
    </row>
    <row r="26" spans="1:15" ht="15" customHeight="1" x14ac:dyDescent="0.25">
      <c r="A26" s="61" t="s">
        <v>50</v>
      </c>
      <c r="B26" s="61" t="s">
        <v>44</v>
      </c>
      <c r="C26" s="26" t="s">
        <v>51</v>
      </c>
      <c r="D26" s="26"/>
      <c r="E26" s="27"/>
      <c r="F26" s="28"/>
      <c r="G26" s="29">
        <v>0</v>
      </c>
      <c r="H26" s="19">
        <v>0</v>
      </c>
      <c r="I26" s="19">
        <v>0</v>
      </c>
      <c r="J26" s="19">
        <v>1</v>
      </c>
      <c r="K26" s="19">
        <v>0</v>
      </c>
      <c r="L26" s="19">
        <v>0</v>
      </c>
      <c r="M26" s="19">
        <v>0</v>
      </c>
      <c r="N26" s="20">
        <v>5</v>
      </c>
      <c r="O26" s="20">
        <v>0</v>
      </c>
    </row>
    <row r="27" spans="1:15" ht="15" customHeight="1" x14ac:dyDescent="0.25">
      <c r="A27" s="61" t="s">
        <v>52</v>
      </c>
      <c r="B27" s="61"/>
      <c r="C27" s="26" t="s">
        <v>53</v>
      </c>
      <c r="D27" s="26"/>
      <c r="E27" s="27"/>
      <c r="F27" s="28"/>
      <c r="G27" s="29">
        <v>161</v>
      </c>
      <c r="H27" s="19">
        <v>29</v>
      </c>
      <c r="I27" s="19">
        <v>23</v>
      </c>
      <c r="J27" s="19">
        <v>15</v>
      </c>
      <c r="K27" s="19">
        <v>50</v>
      </c>
      <c r="L27" s="19">
        <v>125</v>
      </c>
      <c r="M27" s="19">
        <v>86</v>
      </c>
      <c r="N27" s="20">
        <v>90</v>
      </c>
      <c r="O27" s="20">
        <f>4+13</f>
        <v>17</v>
      </c>
    </row>
    <row r="28" spans="1:15" ht="15" customHeight="1" x14ac:dyDescent="0.25">
      <c r="A28" s="61" t="s">
        <v>54</v>
      </c>
      <c r="B28" s="61"/>
      <c r="C28" s="26"/>
      <c r="D28" s="26"/>
      <c r="E28" s="27"/>
      <c r="F28" s="28"/>
      <c r="G28" s="29"/>
      <c r="H28" s="19"/>
      <c r="I28" s="19"/>
      <c r="J28" s="19"/>
      <c r="K28" s="19"/>
      <c r="L28" s="19"/>
      <c r="M28" s="19"/>
      <c r="N28" s="20"/>
      <c r="O28" s="20"/>
    </row>
    <row r="29" spans="1:15" ht="15" customHeight="1" x14ac:dyDescent="0.25">
      <c r="A29" s="61" t="s">
        <v>55</v>
      </c>
      <c r="B29" s="61"/>
      <c r="C29" s="26"/>
      <c r="D29" s="26"/>
      <c r="E29" s="27"/>
      <c r="F29" s="28"/>
      <c r="G29" s="29"/>
      <c r="H29" s="19"/>
      <c r="I29" s="19"/>
      <c r="J29" s="19"/>
      <c r="K29" s="19"/>
      <c r="L29" s="19"/>
      <c r="M29" s="19"/>
      <c r="N29" s="20"/>
      <c r="O29" s="20"/>
    </row>
    <row r="30" spans="1:15" s="38" customFormat="1" ht="15" customHeight="1" x14ac:dyDescent="0.25">
      <c r="A30" s="60" t="s">
        <v>56</v>
      </c>
      <c r="B30" s="60"/>
      <c r="C30" s="22" t="s">
        <v>57</v>
      </c>
      <c r="D30" s="23"/>
      <c r="E30" s="23"/>
      <c r="F30" s="24"/>
      <c r="G30" s="23"/>
      <c r="H30" s="37"/>
      <c r="I30" s="37"/>
      <c r="J30" s="37"/>
      <c r="K30" s="37"/>
      <c r="L30" s="37"/>
      <c r="M30" s="37"/>
      <c r="N30" s="37"/>
      <c r="O30" s="37"/>
    </row>
    <row r="31" spans="1:15" ht="15" customHeight="1" x14ac:dyDescent="0.25">
      <c r="A31" s="61" t="s">
        <v>58</v>
      </c>
      <c r="B31" s="61"/>
      <c r="C31" s="26" t="s">
        <v>59</v>
      </c>
      <c r="D31" s="26"/>
      <c r="E31" s="27"/>
      <c r="F31" s="28"/>
      <c r="G31" s="29"/>
      <c r="H31" s="19"/>
      <c r="I31" s="19"/>
      <c r="J31" s="19"/>
      <c r="K31" s="19"/>
      <c r="L31" s="19"/>
      <c r="M31" s="19"/>
      <c r="N31" s="20"/>
      <c r="O31" s="20"/>
    </row>
    <row r="32" spans="1:15" ht="15" customHeight="1" x14ac:dyDescent="0.25">
      <c r="A32" s="61" t="s">
        <v>60</v>
      </c>
      <c r="B32" s="61"/>
      <c r="C32" s="26"/>
      <c r="D32" s="26"/>
      <c r="E32" s="27"/>
      <c r="F32" s="28"/>
      <c r="G32" s="29"/>
      <c r="H32" s="19"/>
      <c r="I32" s="19"/>
      <c r="J32" s="19"/>
      <c r="K32" s="19"/>
      <c r="L32" s="19"/>
      <c r="M32" s="19"/>
      <c r="N32" s="20"/>
      <c r="O32" s="20"/>
    </row>
    <row r="33" spans="1:15" ht="15" customHeight="1" x14ac:dyDescent="0.25">
      <c r="A33" s="61" t="s">
        <v>61</v>
      </c>
      <c r="B33" s="61"/>
      <c r="C33" s="26"/>
      <c r="D33" s="26"/>
      <c r="E33" s="27"/>
      <c r="F33" s="28"/>
      <c r="G33" s="29"/>
      <c r="H33" s="19"/>
      <c r="I33" s="19"/>
      <c r="J33" s="19"/>
      <c r="K33" s="19"/>
      <c r="L33" s="19"/>
      <c r="M33" s="19"/>
      <c r="N33" s="20"/>
      <c r="O33" s="20"/>
    </row>
    <row r="34" spans="1:15" ht="15" customHeight="1" x14ac:dyDescent="0.25">
      <c r="A34" s="61" t="s">
        <v>62</v>
      </c>
      <c r="B34" s="61"/>
      <c r="C34" s="26"/>
      <c r="D34" s="26"/>
      <c r="E34" s="27"/>
      <c r="F34" s="28"/>
      <c r="G34" s="29"/>
      <c r="H34" s="19"/>
      <c r="I34" s="19"/>
      <c r="J34" s="19"/>
      <c r="K34" s="19"/>
      <c r="L34" s="19"/>
      <c r="M34" s="19"/>
      <c r="N34" s="20"/>
      <c r="O34" s="20"/>
    </row>
    <row r="35" spans="1:15" ht="15" customHeight="1" x14ac:dyDescent="0.25">
      <c r="A35" s="61" t="s">
        <v>63</v>
      </c>
      <c r="B35" s="61"/>
      <c r="C35" s="26"/>
      <c r="D35" s="26"/>
      <c r="E35" s="27"/>
      <c r="F35" s="28"/>
      <c r="G35" s="29">
        <v>4082.45</v>
      </c>
      <c r="H35" s="19">
        <v>763.8</v>
      </c>
      <c r="I35" s="19">
        <v>769</v>
      </c>
      <c r="J35" s="19">
        <v>0</v>
      </c>
      <c r="K35" s="19">
        <v>1425.23</v>
      </c>
      <c r="L35" s="19">
        <v>4404</v>
      </c>
      <c r="M35" s="19">
        <v>2897</v>
      </c>
      <c r="N35" s="20">
        <v>2904</v>
      </c>
      <c r="O35" s="20">
        <v>507.43</v>
      </c>
    </row>
    <row r="36" spans="1:15" ht="15" customHeight="1" x14ac:dyDescent="0.25">
      <c r="A36" s="61" t="s">
        <v>64</v>
      </c>
      <c r="B36" s="61"/>
      <c r="C36" s="26" t="s">
        <v>65</v>
      </c>
      <c r="D36" s="26"/>
      <c r="E36" s="27"/>
      <c r="F36" s="28"/>
      <c r="G36" s="29"/>
      <c r="H36" s="19"/>
      <c r="I36" s="19"/>
      <c r="J36" s="19"/>
      <c r="K36" s="19"/>
      <c r="L36" s="19"/>
      <c r="M36" s="19"/>
      <c r="N36" s="20"/>
      <c r="O36" s="20"/>
    </row>
    <row r="37" spans="1:15" ht="15" customHeight="1" x14ac:dyDescent="0.25">
      <c r="A37" s="62" t="s">
        <v>66</v>
      </c>
      <c r="B37" s="62"/>
      <c r="C37" s="26" t="s">
        <v>67</v>
      </c>
      <c r="D37" s="26"/>
      <c r="E37" s="27"/>
      <c r="F37" s="28"/>
      <c r="G37" s="29">
        <v>4</v>
      </c>
      <c r="H37" s="19">
        <v>2</v>
      </c>
      <c r="I37" s="19">
        <v>2</v>
      </c>
      <c r="J37" s="19">
        <v>3</v>
      </c>
      <c r="K37" s="19">
        <v>4</v>
      </c>
      <c r="L37" s="19">
        <v>5</v>
      </c>
      <c r="M37" s="19">
        <v>2</v>
      </c>
      <c r="N37" s="20">
        <v>4</v>
      </c>
      <c r="O37" s="20">
        <v>1</v>
      </c>
    </row>
    <row r="38" spans="1:15" ht="15" customHeight="1" x14ac:dyDescent="0.25">
      <c r="A38" s="61" t="s">
        <v>68</v>
      </c>
      <c r="B38" s="61"/>
      <c r="C38" s="26"/>
      <c r="D38" s="26"/>
      <c r="E38" s="27"/>
      <c r="F38" s="28"/>
      <c r="G38" s="29">
        <v>18.5</v>
      </c>
      <c r="H38" s="19">
        <v>18</v>
      </c>
      <c r="I38" s="19">
        <v>15.3</v>
      </c>
      <c r="J38" s="19">
        <v>11</v>
      </c>
      <c r="K38" s="19">
        <v>11</v>
      </c>
      <c r="L38" s="19">
        <v>18</v>
      </c>
      <c r="M38" s="19">
        <v>16</v>
      </c>
      <c r="N38" s="20">
        <v>14</v>
      </c>
      <c r="O38" s="20">
        <v>11</v>
      </c>
    </row>
    <row r="39" spans="1:15" ht="15" customHeight="1" x14ac:dyDescent="0.25">
      <c r="A39" s="61" t="s">
        <v>69</v>
      </c>
      <c r="B39" s="61"/>
      <c r="C39" s="26"/>
      <c r="D39" s="26"/>
      <c r="E39" s="27"/>
      <c r="F39" s="28"/>
      <c r="G39" s="29"/>
      <c r="H39" s="19"/>
      <c r="I39" s="19"/>
      <c r="J39" s="19"/>
      <c r="K39" s="19"/>
      <c r="L39" s="19"/>
      <c r="M39" s="19"/>
      <c r="N39" s="20"/>
      <c r="O39" s="20"/>
    </row>
    <row r="40" spans="1:15" ht="15" customHeight="1" x14ac:dyDescent="0.25">
      <c r="A40" s="61" t="s">
        <v>70</v>
      </c>
      <c r="B40" s="61"/>
      <c r="C40" s="26"/>
      <c r="D40" s="26"/>
      <c r="E40" s="27"/>
      <c r="F40" s="28"/>
      <c r="G40" s="29"/>
      <c r="H40" s="19"/>
      <c r="I40" s="19"/>
      <c r="J40" s="19"/>
      <c r="K40" s="19"/>
      <c r="L40" s="19"/>
      <c r="M40" s="19"/>
      <c r="N40" s="20"/>
      <c r="O40" s="20"/>
    </row>
    <row r="41" spans="1:15" ht="15" customHeight="1" x14ac:dyDescent="0.25">
      <c r="A41" s="61" t="s">
        <v>71</v>
      </c>
      <c r="B41" s="61"/>
      <c r="C41" s="26"/>
      <c r="D41" s="26"/>
      <c r="E41" s="27"/>
      <c r="F41" s="28"/>
      <c r="G41" s="29">
        <v>5</v>
      </c>
      <c r="H41" s="19">
        <v>5</v>
      </c>
      <c r="I41" s="19">
        <v>5</v>
      </c>
      <c r="J41" s="19">
        <v>3</v>
      </c>
      <c r="K41" s="19">
        <v>3</v>
      </c>
      <c r="L41" s="19">
        <v>4</v>
      </c>
      <c r="M41" s="19">
        <v>3</v>
      </c>
      <c r="N41" s="55" t="s">
        <v>100</v>
      </c>
      <c r="O41" s="55" t="s">
        <v>100</v>
      </c>
    </row>
    <row r="42" spans="1:15" ht="15" customHeight="1" x14ac:dyDescent="0.25">
      <c r="A42" s="61" t="s">
        <v>72</v>
      </c>
      <c r="B42" s="61"/>
      <c r="C42" s="26"/>
      <c r="D42" s="26"/>
      <c r="E42" s="27"/>
      <c r="F42" s="28"/>
      <c r="G42" s="29">
        <v>1</v>
      </c>
      <c r="H42" s="19">
        <v>1</v>
      </c>
      <c r="I42" s="19">
        <v>1</v>
      </c>
      <c r="J42" s="19">
        <v>0</v>
      </c>
      <c r="K42" s="19">
        <v>1</v>
      </c>
      <c r="L42" s="19">
        <v>1</v>
      </c>
      <c r="M42" s="19">
        <v>1</v>
      </c>
      <c r="N42" s="20">
        <v>1</v>
      </c>
      <c r="O42" s="20">
        <v>1</v>
      </c>
    </row>
    <row r="43" spans="1:15" ht="15" customHeight="1" x14ac:dyDescent="0.25">
      <c r="A43" s="61" t="s">
        <v>73</v>
      </c>
      <c r="B43" s="61"/>
      <c r="C43" s="26" t="s">
        <v>74</v>
      </c>
      <c r="D43" s="26"/>
      <c r="E43" s="27"/>
      <c r="F43" s="28"/>
      <c r="G43" s="29">
        <v>4</v>
      </c>
      <c r="H43" s="19">
        <v>2</v>
      </c>
      <c r="I43" s="19">
        <v>2</v>
      </c>
      <c r="J43" s="19">
        <v>3</v>
      </c>
      <c r="K43" s="19">
        <v>4</v>
      </c>
      <c r="L43" s="19">
        <v>5</v>
      </c>
      <c r="M43" s="19">
        <v>2</v>
      </c>
      <c r="N43" s="20">
        <v>4</v>
      </c>
      <c r="O43" s="20">
        <v>1</v>
      </c>
    </row>
    <row r="44" spans="1:15" ht="15" customHeight="1" x14ac:dyDescent="0.25">
      <c r="A44" s="60" t="s">
        <v>75</v>
      </c>
      <c r="B44" s="60"/>
      <c r="C44" s="22" t="s">
        <v>76</v>
      </c>
      <c r="D44" s="22"/>
      <c r="E44" s="39"/>
      <c r="F44" s="40"/>
      <c r="G44" s="39"/>
      <c r="H44" s="25"/>
      <c r="I44" s="25"/>
      <c r="J44" s="25"/>
      <c r="K44" s="25"/>
      <c r="L44" s="25"/>
      <c r="M44" s="25"/>
      <c r="N44" s="25"/>
      <c r="O44" s="25"/>
    </row>
    <row r="45" spans="1:15" ht="15" customHeight="1" x14ac:dyDescent="0.25">
      <c r="A45" s="61" t="s">
        <v>77</v>
      </c>
      <c r="B45" s="61"/>
      <c r="C45" s="26"/>
      <c r="D45" s="26"/>
      <c r="E45" s="27"/>
      <c r="F45" s="28"/>
      <c r="G45" s="29"/>
      <c r="H45" s="19"/>
      <c r="I45" s="19"/>
      <c r="J45" s="19"/>
      <c r="K45" s="19"/>
      <c r="L45" s="19"/>
      <c r="M45" s="19"/>
      <c r="N45" s="20"/>
      <c r="O45" s="20"/>
    </row>
    <row r="46" spans="1:15" ht="15" customHeight="1" x14ac:dyDescent="0.25">
      <c r="A46" s="60" t="s">
        <v>78</v>
      </c>
      <c r="B46" s="60"/>
      <c r="C46" s="26" t="s">
        <v>79</v>
      </c>
      <c r="D46" s="26"/>
      <c r="E46" s="27"/>
      <c r="F46" s="28"/>
      <c r="G46" s="29"/>
      <c r="H46" s="19"/>
      <c r="I46" s="19"/>
      <c r="J46" s="19"/>
      <c r="K46" s="19"/>
      <c r="L46" s="19"/>
      <c r="M46" s="19"/>
      <c r="N46" s="20"/>
      <c r="O46" s="20"/>
    </row>
    <row r="47" spans="1:15" ht="15" customHeight="1" x14ac:dyDescent="0.25">
      <c r="A47" s="60" t="s">
        <v>80</v>
      </c>
      <c r="B47" s="60"/>
      <c r="C47" s="26" t="s">
        <v>81</v>
      </c>
      <c r="E47" s="27"/>
      <c r="F47" s="28"/>
      <c r="G47" s="26">
        <v>6645</v>
      </c>
      <c r="H47" s="19">
        <v>1857.68</v>
      </c>
      <c r="I47" s="19">
        <v>1440.66</v>
      </c>
      <c r="J47" s="19">
        <v>2177.1</v>
      </c>
      <c r="K47" s="19">
        <v>3169.6</v>
      </c>
      <c r="L47" s="19">
        <v>6685</v>
      </c>
      <c r="M47" s="19">
        <v>6920</v>
      </c>
      <c r="N47" s="20">
        <v>6965</v>
      </c>
      <c r="O47" s="20">
        <f>501+846</f>
        <v>1347</v>
      </c>
    </row>
    <row r="48" spans="1:15" ht="15" customHeight="1" x14ac:dyDescent="0.25">
      <c r="A48" s="60" t="s">
        <v>82</v>
      </c>
      <c r="B48" s="60"/>
      <c r="C48" s="26" t="s">
        <v>83</v>
      </c>
      <c r="D48" s="26"/>
      <c r="E48" s="27"/>
      <c r="F48" s="28"/>
      <c r="G48" s="29"/>
      <c r="H48" s="19"/>
      <c r="I48" s="19"/>
      <c r="J48" s="19"/>
      <c r="K48" s="19"/>
      <c r="L48" s="19"/>
      <c r="M48" s="19"/>
      <c r="N48" s="20"/>
      <c r="O48" s="20"/>
    </row>
    <row r="49" spans="1:15" ht="15" customHeight="1" x14ac:dyDescent="0.25">
      <c r="A49" s="60" t="s">
        <v>84</v>
      </c>
      <c r="B49" s="60"/>
      <c r="C49" s="22" t="s">
        <v>85</v>
      </c>
      <c r="D49" s="41"/>
      <c r="E49" s="42"/>
      <c r="F49" s="43"/>
      <c r="G49" s="29">
        <v>4082.45</v>
      </c>
      <c r="H49" s="19">
        <v>163.80000000000001</v>
      </c>
      <c r="I49" s="19">
        <v>769</v>
      </c>
      <c r="J49" s="19">
        <v>0</v>
      </c>
      <c r="K49" s="19">
        <v>1425.23</v>
      </c>
      <c r="L49" s="19">
        <v>4404</v>
      </c>
      <c r="M49" s="19">
        <v>2897</v>
      </c>
      <c r="N49" s="20">
        <v>2940</v>
      </c>
      <c r="O49" s="20">
        <v>507</v>
      </c>
    </row>
    <row r="50" spans="1:15" ht="15" customHeight="1" x14ac:dyDescent="0.25">
      <c r="A50" s="61" t="s">
        <v>86</v>
      </c>
      <c r="B50" s="61"/>
      <c r="C50" s="26" t="s">
        <v>87</v>
      </c>
      <c r="D50" s="26"/>
      <c r="E50" s="34"/>
      <c r="F50" s="35"/>
      <c r="G50" s="36"/>
      <c r="H50" s="19"/>
      <c r="I50" s="19"/>
      <c r="J50" s="19"/>
      <c r="K50" s="19"/>
      <c r="L50" s="19"/>
      <c r="M50" s="19"/>
      <c r="N50" s="20"/>
      <c r="O50" s="20"/>
    </row>
    <row r="51" spans="1:15" ht="15" customHeight="1" x14ac:dyDescent="0.25">
      <c r="A51" s="60" t="s">
        <v>88</v>
      </c>
      <c r="B51" s="60"/>
      <c r="C51" s="22"/>
      <c r="D51" s="46"/>
      <c r="E51" s="47"/>
      <c r="F51" s="48"/>
      <c r="G51" s="56">
        <f>(G17+G20)/G47</f>
        <v>1.01458690744921</v>
      </c>
      <c r="H51" s="56">
        <f t="shared" ref="H51:O51" si="0">(H17+H20)/H47</f>
        <v>0.89670449162396104</v>
      </c>
      <c r="I51" s="56">
        <f t="shared" si="0"/>
        <v>0.70213652076131772</v>
      </c>
      <c r="J51" s="56">
        <f t="shared" si="0"/>
        <v>0.52466583987873783</v>
      </c>
      <c r="K51" s="56">
        <f t="shared" si="0"/>
        <v>0.7116544674406865</v>
      </c>
      <c r="L51" s="56">
        <f t="shared" si="0"/>
        <v>0.90765445026178015</v>
      </c>
      <c r="M51" s="56">
        <f t="shared" si="0"/>
        <v>0.66601878612716769</v>
      </c>
      <c r="N51" s="56">
        <f t="shared" si="0"/>
        <v>0.65546302943287871</v>
      </c>
      <c r="O51" s="56">
        <f t="shared" si="0"/>
        <v>0.69870824053452119</v>
      </c>
    </row>
    <row r="52" spans="1:15" ht="15" customHeight="1" x14ac:dyDescent="0.25">
      <c r="A52" s="60" t="s">
        <v>89</v>
      </c>
      <c r="B52" s="60"/>
      <c r="C52" s="22"/>
      <c r="D52" s="46"/>
      <c r="E52" s="47"/>
      <c r="F52" s="48"/>
      <c r="G52" s="47"/>
      <c r="H52" s="49"/>
      <c r="I52" s="49"/>
      <c r="J52" s="49"/>
      <c r="K52" s="49"/>
      <c r="L52" s="49"/>
      <c r="M52" s="49"/>
      <c r="N52" s="49"/>
      <c r="O52" s="49"/>
    </row>
    <row r="53" spans="1:15" ht="15" customHeight="1" x14ac:dyDescent="0.25">
      <c r="A53" s="60" t="s">
        <v>90</v>
      </c>
      <c r="B53" s="60"/>
      <c r="C53" s="22"/>
      <c r="D53" s="46"/>
      <c r="E53" s="47"/>
      <c r="F53" s="48"/>
      <c r="G53" s="47"/>
      <c r="H53" s="49"/>
      <c r="I53" s="49"/>
      <c r="J53" s="49"/>
      <c r="K53" s="49"/>
      <c r="L53" s="49"/>
      <c r="M53" s="49"/>
      <c r="N53" s="49"/>
      <c r="O53" s="49"/>
    </row>
    <row r="54" spans="1:15" ht="15" customHeight="1" x14ac:dyDescent="0.25">
      <c r="A54" s="60" t="s">
        <v>91</v>
      </c>
      <c r="B54" s="60"/>
      <c r="C54" s="22"/>
      <c r="D54" s="46"/>
      <c r="E54" s="47"/>
      <c r="F54" s="48"/>
      <c r="G54" s="47"/>
      <c r="H54" s="49"/>
      <c r="I54" s="49"/>
      <c r="J54" s="49"/>
      <c r="K54" s="49"/>
      <c r="L54" s="49"/>
      <c r="M54" s="49"/>
      <c r="N54" s="49"/>
      <c r="O54" s="49"/>
    </row>
    <row r="55" spans="1:15" ht="15" customHeight="1" x14ac:dyDescent="0.25">
      <c r="A55" s="60" t="s">
        <v>92</v>
      </c>
      <c r="B55" s="60"/>
      <c r="C55" s="22"/>
      <c r="D55" s="46"/>
      <c r="E55" s="47"/>
      <c r="F55" s="48"/>
      <c r="G55" s="47"/>
      <c r="H55" s="49"/>
      <c r="I55" s="49"/>
      <c r="J55" s="49"/>
      <c r="K55" s="49"/>
      <c r="L55" s="49"/>
      <c r="M55" s="49"/>
      <c r="N55" s="49"/>
      <c r="O55" s="49"/>
    </row>
    <row r="56" spans="1:15" ht="15" customHeight="1" x14ac:dyDescent="0.25">
      <c r="A56" s="60" t="s">
        <v>93</v>
      </c>
      <c r="B56" s="60"/>
      <c r="C56" s="22"/>
      <c r="D56" s="46"/>
      <c r="E56" s="47"/>
      <c r="F56" s="48"/>
      <c r="G56" s="56">
        <f>(G20+G17)/G4</f>
        <v>1.0050581395348837</v>
      </c>
      <c r="H56" s="56">
        <f t="shared" ref="H56:O56" si="1">(H20+H17)/H4</f>
        <v>1.429862660944206</v>
      </c>
      <c r="I56" s="56">
        <f t="shared" si="1"/>
        <v>0.78780373831775696</v>
      </c>
      <c r="J56" s="56">
        <f t="shared" si="1"/>
        <v>0.47219925589086398</v>
      </c>
      <c r="K56" s="56">
        <f t="shared" si="1"/>
        <v>0.56490358126721762</v>
      </c>
      <c r="L56" s="56">
        <f t="shared" si="1"/>
        <v>0.94570916458852872</v>
      </c>
      <c r="M56" s="56">
        <f t="shared" si="1"/>
        <v>1.0725738887595999</v>
      </c>
      <c r="N56" s="56">
        <f t="shared" si="1"/>
        <v>0.92377579927155007</v>
      </c>
      <c r="O56" s="56">
        <f t="shared" si="1"/>
        <v>0.94116</v>
      </c>
    </row>
    <row r="57" spans="1:15" ht="15" customHeight="1" x14ac:dyDescent="0.25">
      <c r="A57" s="60" t="s">
        <v>94</v>
      </c>
      <c r="B57" s="60"/>
      <c r="C57" s="22"/>
      <c r="D57" s="46"/>
      <c r="E57" s="47"/>
      <c r="F57" s="48"/>
      <c r="G57" s="56">
        <f>(G20+G17)/G37</f>
        <v>1685.4825000000001</v>
      </c>
      <c r="H57" s="56">
        <f t="shared" ref="H57:O57" si="2">(H20+H17)/H37</f>
        <v>832.89499999999998</v>
      </c>
      <c r="I57" s="56">
        <f t="shared" si="2"/>
        <v>505.77</v>
      </c>
      <c r="J57" s="56">
        <f t="shared" si="2"/>
        <v>380.75</v>
      </c>
      <c r="K57" s="56">
        <f t="shared" si="2"/>
        <v>563.91499999999996</v>
      </c>
      <c r="L57" s="56">
        <f t="shared" si="2"/>
        <v>1213.5340000000001</v>
      </c>
      <c r="M57" s="56">
        <f t="shared" si="2"/>
        <v>2304.4250000000002</v>
      </c>
      <c r="N57" s="56">
        <f t="shared" si="2"/>
        <v>1141.325</v>
      </c>
      <c r="O57" s="56">
        <f t="shared" si="2"/>
        <v>941.16</v>
      </c>
    </row>
    <row r="58" spans="1:15" ht="15" customHeight="1" x14ac:dyDescent="0.25">
      <c r="A58" s="60" t="s">
        <v>92</v>
      </c>
      <c r="B58" s="60"/>
      <c r="C58" s="22"/>
      <c r="D58" s="46"/>
      <c r="E58" s="47"/>
      <c r="F58" s="48"/>
      <c r="G58" s="47"/>
      <c r="H58" s="49"/>
      <c r="I58" s="49"/>
      <c r="J58" s="49"/>
      <c r="K58" s="49"/>
      <c r="L58" s="49"/>
      <c r="M58" s="49"/>
      <c r="N58" s="49"/>
      <c r="O58" s="49"/>
    </row>
    <row r="59" spans="1:15" ht="15" customHeight="1" x14ac:dyDescent="0.25">
      <c r="A59" s="60" t="s">
        <v>95</v>
      </c>
      <c r="B59" s="60"/>
      <c r="C59" s="22"/>
      <c r="D59" s="46"/>
      <c r="E59" s="47"/>
      <c r="F59" s="48"/>
      <c r="G59" s="56">
        <f>G16/G43</f>
        <v>30</v>
      </c>
      <c r="H59" s="56">
        <f t="shared" ref="H59:O59" si="3">H16/H43</f>
        <v>10</v>
      </c>
      <c r="I59" s="56">
        <f t="shared" si="3"/>
        <v>9.5</v>
      </c>
      <c r="J59" s="56">
        <f t="shared" si="3"/>
        <v>4</v>
      </c>
      <c r="K59" s="56">
        <f t="shared" si="3"/>
        <v>9.25</v>
      </c>
      <c r="L59" s="56">
        <f t="shared" si="3"/>
        <v>18.8</v>
      </c>
      <c r="M59" s="56">
        <f t="shared" si="3"/>
        <v>36</v>
      </c>
      <c r="N59" s="56">
        <f t="shared" si="3"/>
        <v>22.25</v>
      </c>
      <c r="O59" s="56">
        <f t="shared" si="3"/>
        <v>11</v>
      </c>
    </row>
    <row r="60" spans="1:15" ht="15" customHeight="1" x14ac:dyDescent="0.25">
      <c r="A60" s="60" t="s">
        <v>96</v>
      </c>
      <c r="B60" s="60"/>
      <c r="C60" s="22"/>
      <c r="D60" s="46"/>
      <c r="E60" s="47"/>
      <c r="F60" s="48"/>
      <c r="G60" s="47"/>
      <c r="H60" s="49"/>
      <c r="I60" s="49"/>
      <c r="J60" s="49"/>
      <c r="K60" s="49"/>
      <c r="L60" s="49"/>
      <c r="M60" s="49"/>
      <c r="N60" s="49"/>
      <c r="O60" s="49"/>
    </row>
    <row r="61" spans="1:15" ht="15" customHeight="1" x14ac:dyDescent="0.25">
      <c r="A61" s="60" t="s">
        <v>97</v>
      </c>
      <c r="B61" s="60"/>
      <c r="C61" s="22"/>
      <c r="D61" s="46"/>
      <c r="E61" s="47"/>
      <c r="F61" s="48"/>
      <c r="G61" s="47"/>
      <c r="H61" s="49"/>
      <c r="I61" s="49"/>
      <c r="J61" s="49"/>
      <c r="K61" s="49"/>
      <c r="L61" s="49"/>
      <c r="M61" s="49"/>
      <c r="N61" s="49"/>
      <c r="O61" s="49"/>
    </row>
    <row r="62" spans="1:15" ht="15" customHeight="1" x14ac:dyDescent="0.25">
      <c r="A62" s="57" t="s">
        <v>98</v>
      </c>
      <c r="B62" s="58"/>
      <c r="C62" s="22"/>
      <c r="D62" s="46"/>
      <c r="E62" s="47"/>
      <c r="F62" s="48"/>
      <c r="G62" s="47"/>
      <c r="H62" s="49"/>
      <c r="I62" s="49"/>
      <c r="J62" s="49"/>
      <c r="K62" s="49"/>
      <c r="L62" s="49"/>
      <c r="M62" s="49"/>
      <c r="N62" s="49"/>
      <c r="O62" s="49"/>
    </row>
    <row r="63" spans="1:15" ht="15" customHeight="1" x14ac:dyDescent="0.25">
      <c r="A63" s="59"/>
      <c r="B63" s="59"/>
      <c r="C63" s="22"/>
      <c r="D63" s="46"/>
      <c r="E63" s="47"/>
      <c r="F63" s="48"/>
      <c r="G63" s="47"/>
      <c r="H63" s="49"/>
      <c r="I63" s="49"/>
      <c r="J63" s="49"/>
      <c r="K63" s="49"/>
      <c r="L63" s="49"/>
      <c r="M63" s="49"/>
      <c r="N63" s="49"/>
      <c r="O63" s="49"/>
    </row>
  </sheetData>
  <mergeCells count="62">
    <mergeCell ref="A7:B7"/>
    <mergeCell ref="A2:F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56:B56"/>
    <mergeCell ref="A57:B57"/>
    <mergeCell ref="A58:B58"/>
    <mergeCell ref="A59:B59"/>
    <mergeCell ref="A60:B60"/>
    <mergeCell ref="A61:B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APA Wojciechowski Sp. z.o.o.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Wojciechowski</dc:creator>
  <cp:lastModifiedBy>Julia Łukaszewicz</cp:lastModifiedBy>
  <cp:lastPrinted>2026-05-11T21:35:05Z</cp:lastPrinted>
  <dcterms:created xsi:type="dcterms:W3CDTF">2026-05-11T08:18:51Z</dcterms:created>
  <dcterms:modified xsi:type="dcterms:W3CDTF">2026-09-22T11:35:24Z</dcterms:modified>
</cp:coreProperties>
</file>