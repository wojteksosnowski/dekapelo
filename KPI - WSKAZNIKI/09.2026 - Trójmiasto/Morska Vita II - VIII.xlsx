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veliapl-my.sharepoint.com/personal/jlukaszewicz_develia_pl/Documents/Pulpit/Parametry dla APK i WPK/W projektowaniu/"/>
    </mc:Choice>
  </mc:AlternateContent>
  <xr:revisionPtr revIDLastSave="11" documentId="8_{541F07BC-C1DC-4DE6-A8C3-1644130A9DF9}" xr6:coauthVersionLast="47" xr6:coauthVersionMax="47" xr10:uidLastSave="{41DE10E6-8079-4357-8F22-3975341BBCD5}"/>
  <bookViews>
    <workbookView xWindow="43095" yWindow="0" windowWidth="14610" windowHeight="15585" tabRatio="500" xr2:uid="{00000000-000D-0000-FFFF-FFFF00000000}"/>
  </bookViews>
  <sheets>
    <sheet name="zestawienie(proj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0" i="1" l="1"/>
  <c r="L21" i="1"/>
  <c r="L22" i="1"/>
  <c r="L23" i="1"/>
  <c r="L24" i="1"/>
  <c r="L19" i="1"/>
  <c r="L7" i="1"/>
  <c r="L8" i="1"/>
  <c r="L9" i="1"/>
  <c r="L10" i="1"/>
  <c r="L11" i="1"/>
  <c r="L12" i="1"/>
  <c r="L13" i="1"/>
  <c r="L14" i="1"/>
  <c r="L15" i="1"/>
  <c r="L16" i="1"/>
  <c r="L6" i="1"/>
  <c r="R46" i="1"/>
  <c r="Q46" i="1"/>
  <c r="P46" i="1"/>
  <c r="M46" i="1"/>
  <c r="L46" i="1"/>
  <c r="E29" i="1" l="1"/>
  <c r="F29" i="1"/>
  <c r="S72" i="1"/>
  <c r="F56" i="1"/>
  <c r="E56" i="1"/>
  <c r="K56" i="1"/>
  <c r="J56" i="1"/>
  <c r="G56" i="1"/>
  <c r="Q74" i="1"/>
  <c r="P76" i="1"/>
  <c r="P74" i="1"/>
  <c r="H56" i="1"/>
  <c r="P56" i="1" s="1"/>
  <c r="E41" i="1"/>
  <c r="D9" i="1"/>
  <c r="P40" i="1"/>
  <c r="R6" i="1"/>
  <c r="Q6" i="1"/>
  <c r="P6" i="1"/>
  <c r="R77" i="1"/>
  <c r="Q77" i="1"/>
  <c r="P77" i="1"/>
  <c r="R72" i="1"/>
  <c r="Q72" i="1"/>
  <c r="P72" i="1"/>
  <c r="R71" i="1"/>
  <c r="Q71" i="1"/>
  <c r="P71" i="1"/>
  <c r="R69" i="1"/>
  <c r="Q69" i="1"/>
  <c r="P69" i="1"/>
  <c r="R63" i="1"/>
  <c r="Q63" i="1"/>
  <c r="P63" i="1"/>
  <c r="R62" i="1"/>
  <c r="Q62" i="1"/>
  <c r="P62" i="1"/>
  <c r="R61" i="1"/>
  <c r="Q61" i="1"/>
  <c r="P61" i="1"/>
  <c r="R60" i="1"/>
  <c r="Q60" i="1"/>
  <c r="P60" i="1"/>
  <c r="R59" i="1"/>
  <c r="Q59" i="1"/>
  <c r="P59" i="1"/>
  <c r="R58" i="1"/>
  <c r="Q58" i="1"/>
  <c r="P58" i="1"/>
  <c r="R55" i="1"/>
  <c r="Q55" i="1"/>
  <c r="P55" i="1"/>
  <c r="R54" i="1"/>
  <c r="Q54" i="1"/>
  <c r="P54" i="1"/>
  <c r="R53" i="1"/>
  <c r="Q53" i="1"/>
  <c r="P53" i="1"/>
  <c r="R52" i="1"/>
  <c r="R50" i="1"/>
  <c r="Q50" i="1"/>
  <c r="P50" i="1"/>
  <c r="R49" i="1"/>
  <c r="Q49" i="1"/>
  <c r="P49" i="1"/>
  <c r="R48" i="1"/>
  <c r="Q48" i="1"/>
  <c r="P48" i="1"/>
  <c r="R47" i="1"/>
  <c r="Q47" i="1"/>
  <c r="P47" i="1"/>
  <c r="R45" i="1"/>
  <c r="Q45" i="1"/>
  <c r="P45" i="1"/>
  <c r="R44" i="1"/>
  <c r="Q44" i="1"/>
  <c r="P44" i="1"/>
  <c r="R40" i="1"/>
  <c r="Q40" i="1"/>
  <c r="R39" i="1"/>
  <c r="Q39" i="1"/>
  <c r="P39" i="1"/>
  <c r="R38" i="1"/>
  <c r="Q38" i="1"/>
  <c r="P38" i="1"/>
  <c r="R36" i="1"/>
  <c r="Q36" i="1"/>
  <c r="P36" i="1"/>
  <c r="R35" i="1"/>
  <c r="R31" i="1"/>
  <c r="Q31" i="1"/>
  <c r="P31" i="1"/>
  <c r="R30" i="1"/>
  <c r="Q30" i="1"/>
  <c r="P30" i="1"/>
  <c r="R29" i="1"/>
  <c r="Q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2" i="1"/>
  <c r="Q22" i="1"/>
  <c r="P22" i="1"/>
  <c r="R21" i="1"/>
  <c r="Q21" i="1"/>
  <c r="P21" i="1"/>
  <c r="R20" i="1"/>
  <c r="Q20" i="1"/>
  <c r="P20" i="1"/>
  <c r="R19" i="1"/>
  <c r="Q19" i="1"/>
  <c r="P19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P7" i="1"/>
  <c r="Q7" i="1"/>
  <c r="R7" i="1"/>
  <c r="E35" i="1"/>
  <c r="F41" i="1"/>
  <c r="G41" i="1"/>
  <c r="H41" i="1"/>
  <c r="I41" i="1"/>
  <c r="R41" i="1" s="1"/>
  <c r="I56" i="1"/>
  <c r="R56" i="1" s="1"/>
  <c r="I74" i="1"/>
  <c r="R74" i="1" s="1"/>
  <c r="I70" i="1"/>
  <c r="J41" i="1"/>
  <c r="J70" i="1"/>
  <c r="K70" i="1"/>
  <c r="K41" i="1"/>
  <c r="D57" i="1"/>
  <c r="M60" i="1"/>
  <c r="L60" i="1"/>
  <c r="L49" i="1"/>
  <c r="M45" i="1"/>
  <c r="L45" i="1"/>
  <c r="D23" i="1"/>
  <c r="M48" i="1"/>
  <c r="L48" i="1"/>
  <c r="G42" i="1"/>
  <c r="M77" i="1"/>
  <c r="E75" i="1"/>
  <c r="I51" i="1"/>
  <c r="K51" i="1"/>
  <c r="K52" i="1"/>
  <c r="J51" i="1"/>
  <c r="G52" i="1"/>
  <c r="Q52" i="1" s="1"/>
  <c r="F52" i="1"/>
  <c r="G51" i="1"/>
  <c r="I57" i="1"/>
  <c r="R57" i="1" s="1"/>
  <c r="E52" i="1"/>
  <c r="F51" i="1"/>
  <c r="E51" i="1"/>
  <c r="D52" i="1"/>
  <c r="E57" i="1"/>
  <c r="G57" i="1"/>
  <c r="M50" i="1"/>
  <c r="L50" i="1"/>
  <c r="L44" i="1"/>
  <c r="I42" i="1"/>
  <c r="H42" i="1"/>
  <c r="F42" i="1"/>
  <c r="E42" i="1"/>
  <c r="M44" i="1"/>
  <c r="G33" i="1"/>
  <c r="F33" i="1"/>
  <c r="E33" i="1"/>
  <c r="E37" i="1"/>
  <c r="K33" i="1"/>
  <c r="M14" i="1"/>
  <c r="H35" i="1"/>
  <c r="G35" i="1"/>
  <c r="Q35" i="1" s="1"/>
  <c r="F35" i="1"/>
  <c r="F37" i="1" s="1"/>
  <c r="L74" i="1" l="1"/>
  <c r="M74" i="1"/>
  <c r="P29" i="1"/>
  <c r="P52" i="1"/>
  <c r="Q41" i="1"/>
  <c r="Q56" i="1"/>
  <c r="P35" i="1"/>
  <c r="P41" i="1"/>
  <c r="E78" i="1"/>
  <c r="E79" i="1"/>
  <c r="J88" i="1"/>
  <c r="I88" i="1"/>
  <c r="H88" i="1"/>
  <c r="G88" i="1"/>
  <c r="F88" i="1"/>
  <c r="E88" i="1"/>
  <c r="D88" i="1"/>
  <c r="J86" i="1"/>
  <c r="I86" i="1"/>
  <c r="H86" i="1"/>
  <c r="G86" i="1"/>
  <c r="F86" i="1"/>
  <c r="E86" i="1"/>
  <c r="D86" i="1"/>
  <c r="K85" i="1"/>
  <c r="J85" i="1"/>
  <c r="I85" i="1"/>
  <c r="D85" i="1"/>
  <c r="K82" i="1"/>
  <c r="J82" i="1"/>
  <c r="I82" i="1"/>
  <c r="D82" i="1"/>
  <c r="L77" i="1"/>
  <c r="J75" i="1"/>
  <c r="H75" i="1"/>
  <c r="G75" i="1"/>
  <c r="F75" i="1"/>
  <c r="K87" i="1"/>
  <c r="J87" i="1"/>
  <c r="I87" i="1"/>
  <c r="D87" i="1"/>
  <c r="M69" i="1"/>
  <c r="L69" i="1"/>
  <c r="M63" i="1"/>
  <c r="L63" i="1"/>
  <c r="M62" i="1"/>
  <c r="M61" i="1"/>
  <c r="M59" i="1"/>
  <c r="L59" i="1"/>
  <c r="K57" i="1"/>
  <c r="J57" i="1"/>
  <c r="Q57" i="1" s="1"/>
  <c r="H57" i="1"/>
  <c r="F57" i="1"/>
  <c r="P57" i="1" s="1"/>
  <c r="M57" i="1"/>
  <c r="L57" i="1"/>
  <c r="M56" i="1"/>
  <c r="L55" i="1"/>
  <c r="M54" i="1"/>
  <c r="L54" i="1"/>
  <c r="M53" i="1"/>
  <c r="L53" i="1"/>
  <c r="H51" i="1"/>
  <c r="D51" i="1"/>
  <c r="M47" i="1"/>
  <c r="M42" i="1" s="1"/>
  <c r="L47" i="1"/>
  <c r="K42" i="1"/>
  <c r="J42" i="1"/>
  <c r="D42" i="1"/>
  <c r="M39" i="1"/>
  <c r="L39" i="1"/>
  <c r="M38" i="1"/>
  <c r="L38" i="1"/>
  <c r="J37" i="1"/>
  <c r="I37" i="1"/>
  <c r="H37" i="1"/>
  <c r="G37" i="1"/>
  <c r="D37" i="1"/>
  <c r="K34" i="1"/>
  <c r="J34" i="1"/>
  <c r="I34" i="1"/>
  <c r="H34" i="1"/>
  <c r="G34" i="1"/>
  <c r="F34" i="1"/>
  <c r="E34" i="1"/>
  <c r="D34" i="1"/>
  <c r="K84" i="1"/>
  <c r="J33" i="1"/>
  <c r="J84" i="1" s="1"/>
  <c r="I33" i="1"/>
  <c r="I89" i="1" s="1"/>
  <c r="H33" i="1"/>
  <c r="H89" i="1" s="1"/>
  <c r="G84" i="1"/>
  <c r="F84" i="1"/>
  <c r="E89" i="1"/>
  <c r="D33" i="1"/>
  <c r="D89" i="1" s="1"/>
  <c r="M31" i="1"/>
  <c r="L31" i="1"/>
  <c r="M28" i="1"/>
  <c r="L28" i="1"/>
  <c r="M26" i="1"/>
  <c r="L26" i="1"/>
  <c r="M24" i="1"/>
  <c r="K23" i="1"/>
  <c r="K32" i="1" s="1"/>
  <c r="J23" i="1"/>
  <c r="J32" i="1" s="1"/>
  <c r="I23" i="1"/>
  <c r="H23" i="1"/>
  <c r="H32" i="1" s="1"/>
  <c r="G23" i="1"/>
  <c r="F23" i="1"/>
  <c r="F32" i="1" s="1"/>
  <c r="E23" i="1"/>
  <c r="M22" i="1"/>
  <c r="M21" i="1"/>
  <c r="M20" i="1"/>
  <c r="M19" i="1"/>
  <c r="M16" i="1"/>
  <c r="M15" i="1"/>
  <c r="M13" i="1"/>
  <c r="M12" i="1"/>
  <c r="M11" i="1"/>
  <c r="M10" i="1"/>
  <c r="K9" i="1"/>
  <c r="J9" i="1"/>
  <c r="I9" i="1"/>
  <c r="R9" i="1" s="1"/>
  <c r="H9" i="1"/>
  <c r="G9" i="1"/>
  <c r="Q9" i="1" s="1"/>
  <c r="F9" i="1"/>
  <c r="E9" i="1"/>
  <c r="P9" i="1" s="1"/>
  <c r="K8" i="1"/>
  <c r="J8" i="1"/>
  <c r="I8" i="1"/>
  <c r="H8" i="1"/>
  <c r="G8" i="1"/>
  <c r="F8" i="1"/>
  <c r="E8" i="1"/>
  <c r="D8" i="1"/>
  <c r="M7" i="1"/>
  <c r="M6" i="1"/>
  <c r="M8" i="1" l="1"/>
  <c r="M9" i="1"/>
  <c r="P23" i="1"/>
  <c r="G32" i="1"/>
  <c r="Q23" i="1"/>
  <c r="I32" i="1"/>
  <c r="R23" i="1"/>
  <c r="L42" i="1"/>
  <c r="M41" i="1"/>
  <c r="L32" i="1"/>
  <c r="D32" i="1"/>
  <c r="K88" i="1"/>
  <c r="K75" i="1"/>
  <c r="M35" i="1"/>
  <c r="M88" i="1" s="1"/>
  <c r="L35" i="1"/>
  <c r="L86" i="1" s="1"/>
  <c r="K37" i="1"/>
  <c r="M36" i="1"/>
  <c r="M37" i="1" s="1"/>
  <c r="L36" i="1"/>
  <c r="L37" i="1" s="1"/>
  <c r="L51" i="1"/>
  <c r="M51" i="1"/>
  <c r="M55" i="1"/>
  <c r="L58" i="1"/>
  <c r="M58" i="1"/>
  <c r="I73" i="1"/>
  <c r="I81" i="1" s="1"/>
  <c r="I75" i="1"/>
  <c r="I79" i="1" s="1"/>
  <c r="M23" i="1"/>
  <c r="M32" i="1" s="1"/>
  <c r="E32" i="1"/>
  <c r="L40" i="1"/>
  <c r="L56" i="1"/>
  <c r="L61" i="1"/>
  <c r="L71" i="1"/>
  <c r="J73" i="1"/>
  <c r="J81" i="1" s="1"/>
  <c r="D78" i="1"/>
  <c r="H78" i="1"/>
  <c r="F79" i="1"/>
  <c r="J79" i="1"/>
  <c r="D80" i="1"/>
  <c r="F83" i="1"/>
  <c r="J83" i="1"/>
  <c r="D84" i="1"/>
  <c r="H84" i="1"/>
  <c r="F89" i="1"/>
  <c r="J89" i="1"/>
  <c r="L41" i="1"/>
  <c r="M52" i="1"/>
  <c r="L62" i="1"/>
  <c r="M71" i="1"/>
  <c r="M75" i="1" s="1"/>
  <c r="K73" i="1"/>
  <c r="K81" i="1" s="1"/>
  <c r="I78" i="1"/>
  <c r="G79" i="1"/>
  <c r="K79" i="1"/>
  <c r="I80" i="1"/>
  <c r="G83" i="1"/>
  <c r="K83" i="1"/>
  <c r="E84" i="1"/>
  <c r="I84" i="1"/>
  <c r="G89" i="1"/>
  <c r="K89" i="1"/>
  <c r="D73" i="1"/>
  <c r="D81" i="1" s="1"/>
  <c r="F78" i="1"/>
  <c r="J78" i="1"/>
  <c r="D79" i="1"/>
  <c r="H79" i="1"/>
  <c r="J80" i="1"/>
  <c r="D83" i="1"/>
  <c r="H83" i="1"/>
  <c r="G78" i="1"/>
  <c r="K78" i="1"/>
  <c r="K80" i="1"/>
  <c r="E83" i="1"/>
  <c r="I83" i="1"/>
  <c r="K86" i="1"/>
  <c r="M33" i="1" l="1"/>
  <c r="M83" i="1" s="1"/>
  <c r="M86" i="1"/>
  <c r="M34" i="1"/>
  <c r="L33" i="1"/>
  <c r="L89" i="1" s="1"/>
  <c r="M40" i="1"/>
  <c r="L88" i="1"/>
  <c r="L34" i="1"/>
  <c r="L52" i="1"/>
  <c r="L75" i="1"/>
  <c r="M78" i="1" l="1"/>
  <c r="M89" i="1"/>
  <c r="M84" i="1"/>
  <c r="M79" i="1"/>
  <c r="L79" i="1"/>
  <c r="L84" i="1"/>
  <c r="L83" i="1"/>
  <c r="L78" i="1"/>
  <c r="H85" i="1"/>
  <c r="H82" i="1"/>
  <c r="H70" i="1"/>
  <c r="H73" i="1"/>
  <c r="H81" i="1" s="1"/>
  <c r="H87" i="1" l="1"/>
  <c r="H80" i="1"/>
  <c r="G85" i="1"/>
  <c r="G82" i="1"/>
  <c r="G70" i="1"/>
  <c r="G73" i="1" l="1"/>
  <c r="G81" i="1" s="1"/>
  <c r="G87" i="1"/>
  <c r="G80" i="1"/>
  <c r="F82" i="1"/>
  <c r="F85" i="1"/>
  <c r="F70" i="1"/>
  <c r="F73" i="1"/>
  <c r="F81" i="1"/>
  <c r="F80" i="1" l="1"/>
  <c r="F87" i="1"/>
  <c r="L76" i="1"/>
  <c r="L85" i="1" s="1"/>
  <c r="E85" i="1"/>
  <c r="E82" i="1"/>
  <c r="M76" i="1"/>
  <c r="Q33" i="1"/>
  <c r="E70" i="1"/>
  <c r="M70" i="1" s="1"/>
  <c r="M80" i="1" s="1"/>
  <c r="L82" i="1" l="1"/>
  <c r="M73" i="1"/>
  <c r="M81" i="1" s="1"/>
  <c r="M87" i="1"/>
  <c r="E73" i="1"/>
  <c r="E81" i="1" s="1"/>
  <c r="L70" i="1"/>
  <c r="E87" i="1"/>
  <c r="E80" i="1"/>
  <c r="M85" i="1"/>
  <c r="M82" i="1"/>
  <c r="L73" i="1" l="1"/>
  <c r="L81" i="1" s="1"/>
  <c r="L87" i="1"/>
  <c r="L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tc={F38E39B4-7EB3-4AD3-A879-F1CAEA34623A}</author>
    <author>tc={4F88C41B-738A-4B64-B95C-B5E5723AA248}</author>
    <author>tc={7FAF091B-290C-4CD9-B707-865CAA17FA3D}</author>
    <author>tc={231CB4D4-009F-41AD-ABB2-BF8FDED8A72E}</author>
    <author>tc={447326DC-49AA-4B12-99B5-6EE320EB91FC}</author>
    <author>tc={AC566EC3-6FC8-4D52-B5BF-C66DFD4280D9}</author>
    <author>tc={E5E97353-A16D-48CE-B64A-B9013FC6A033}</author>
    <author>tc={B948EF4C-A77B-4EDE-9247-E4AEFB65DA32}</author>
  </authors>
  <commentList>
    <comment ref="L6" authorId="0" shapeId="0" xr:uid="{F38E39B4-7EB3-4AD3-A879-F1CAEA34623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powinno być 35 770 zgodnie z wypisami z ewidencji</t>
      </text>
    </comment>
    <comment ref="E64" authorId="1" shapeId="0" xr:uid="{4F88C41B-738A-4B64-B95C-B5E5723AA24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81,68m n.p.m.</t>
      </text>
    </comment>
    <comment ref="F64" authorId="2" shapeId="0" xr:uid="{7FAF091B-290C-4CD9-B707-865CAA17FA3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81,68m n.p.m.</t>
      </text>
    </comment>
    <comment ref="G64" authorId="3" shapeId="0" xr:uid="{231CB4D4-009F-41AD-ABB2-BF8FDED8A72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74,89m n.p.m.</t>
      </text>
    </comment>
    <comment ref="H64" authorId="4" shapeId="0" xr:uid="{447326DC-49AA-4B12-99B5-6EE320EB91F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81,68m n.p.m.</t>
      </text>
    </comment>
    <comment ref="J64" authorId="5" shapeId="0" xr:uid="{AC566EC3-6FC8-4D52-B5BF-C66DFD4280D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80,87m n.p.m.</t>
      </text>
    </comment>
    <comment ref="K64" authorId="6" shapeId="0" xr:uid="{E5E97353-A16D-48CE-B64A-B9013FC6A033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71,90
</t>
      </text>
    </comment>
    <comment ref="A72" authorId="7" shapeId="0" xr:uid="{B948EF4C-A77B-4EDE-9247-E4AEFB65DA32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dodałam dla doprecyzowania 7 X</t>
      </text>
    </comment>
  </commentList>
</comments>
</file>

<file path=xl/sharedStrings.xml><?xml version="1.0" encoding="utf-8"?>
<sst xmlns="http://schemas.openxmlformats.org/spreadsheetml/2006/main" count="152" uniqueCount="137">
  <si>
    <t>Załącznik nr 17</t>
  </si>
  <si>
    <t>Tabela parametrów inwestycji - Morska Gdynia</t>
  </si>
  <si>
    <t>parametr</t>
  </si>
  <si>
    <t>opis</t>
  </si>
  <si>
    <t>ETAP 1</t>
  </si>
  <si>
    <t>ETAP 2</t>
  </si>
  <si>
    <t>ETAP 3</t>
  </si>
  <si>
    <t>ETAP 4</t>
  </si>
  <si>
    <t>ETAP 5</t>
  </si>
  <si>
    <t>ETAP 6</t>
  </si>
  <si>
    <t>ETAP 7</t>
  </si>
  <si>
    <t>ETAP 8</t>
  </si>
  <si>
    <t>SUMA E1-E8</t>
  </si>
  <si>
    <t>SUMA E2-E8</t>
  </si>
  <si>
    <t>bud2</t>
  </si>
  <si>
    <t>bud3</t>
  </si>
  <si>
    <t>bud4</t>
  </si>
  <si>
    <t>PB</t>
  </si>
  <si>
    <t>PW</t>
  </si>
  <si>
    <t xml:space="preserve">powierzchnia działki </t>
  </si>
  <si>
    <t>im</t>
  </si>
  <si>
    <t>Pd</t>
  </si>
  <si>
    <t xml:space="preserve">powierzchnia zabudowy </t>
  </si>
  <si>
    <t>współczynnik powierzchni zabudowy</t>
  </si>
  <si>
    <t>powierzchnia utwardzona (w tym)</t>
  </si>
  <si>
    <t xml:space="preserve">     powierzchnia zajęta przez parter budynku</t>
  </si>
  <si>
    <t xml:space="preserve">     powierzchnia zajęta przez obiekty infrastruktury</t>
  </si>
  <si>
    <t xml:space="preserve">     powierzchnia chodników (w tym schody)</t>
  </si>
  <si>
    <t xml:space="preserve">     powierzchnia dróg</t>
  </si>
  <si>
    <t xml:space="preserve">     powierzchnia zjazdów do garaży podziemnych</t>
  </si>
  <si>
    <t xml:space="preserve">     powierzchnia ciągów pieszo-jezdnych</t>
  </si>
  <si>
    <t xml:space="preserve">     powierzchnia naw. żwirowej (ścieżki)</t>
  </si>
  <si>
    <t xml:space="preserve">     powierzchnia naw. żwirowej (MP dla rowerów)</t>
  </si>
  <si>
    <t xml:space="preserve">     powierzchnia naw. żwirowej (opaska wokół budynku)</t>
  </si>
  <si>
    <t xml:space="preserve">     powierzchnia ścieżek kamiennych (cała ścieżka szer.90cm)</t>
  </si>
  <si>
    <t xml:space="preserve">     powierzchnia naw. bezpiecznej placu zabaw</t>
  </si>
  <si>
    <t xml:space="preserve">     powierzchnia murów oporowych</t>
  </si>
  <si>
    <t xml:space="preserve">     powierzchnia deskowań</t>
  </si>
  <si>
    <t>powierzchnia biologicznie czynna (w tym)</t>
  </si>
  <si>
    <t xml:space="preserve">     powierzchnia biologicznie czynna (zieleń) 100%</t>
  </si>
  <si>
    <t xml:space="preserve">     powierzchnia biologicznie czynna (ogrody deszczowe) 100%</t>
  </si>
  <si>
    <t xml:space="preserve">     powierzchnia biologicznie czynna 50%</t>
  </si>
  <si>
    <t xml:space="preserve">     powierzchnia biologicznie czynna na płycie garażu 50%</t>
  </si>
  <si>
    <t xml:space="preserve">     powierzchnia biologicznie czynna na płycie garażu 25%</t>
  </si>
  <si>
    <t xml:space="preserve">     dachy i tarasy zielone 50%</t>
  </si>
  <si>
    <t>na dachach budynków</t>
  </si>
  <si>
    <t>na dachach wiat rowerowych</t>
  </si>
  <si>
    <t>na dachach ob. infrastruktury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</si>
  <si>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</si>
  <si>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</si>
  <si>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</si>
  <si>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</si>
  <si>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</si>
  <si>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</si>
  <si>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</si>
  <si>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</si>
  <si>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</si>
  <si>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</si>
  <si>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</si>
  <si>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</si>
  <si>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</si>
  <si>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</si>
  <si>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</si>
  <si>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</si>
  <si>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</si>
  <si>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</si>
  <si>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</si>
  <si>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r>
      <rPr>
        <b/>
        <sz val="11"/>
        <color rgb="FF000000"/>
        <rFont val="Calibri"/>
        <family val="2"/>
        <charset val="238"/>
      </rPr>
      <t xml:space="preserve">powierzchnia części wspólnych
</t>
    </r>
    <r>
      <rPr>
        <sz val="11"/>
        <color rgb="FF000000"/>
        <rFont val="Calibri"/>
        <family val="2"/>
        <charset val="238"/>
      </rPr>
      <t>(klatki schodowe,windy, korytarze, fitness, sala klubowa, rowerownia, pom.mycia psów)</t>
    </r>
  </si>
  <si>
    <t>imp</t>
  </si>
  <si>
    <r>
      <rPr>
        <b/>
        <sz val="11"/>
        <color theme="1"/>
        <rFont val="Calibri"/>
        <family val="2"/>
        <charset val="238"/>
      </rPr>
      <t>powierzchnia części wspólnych</t>
    </r>
    <r>
      <rPr>
        <sz val="11"/>
        <color theme="1"/>
        <rFont val="Calibri"/>
        <family val="2"/>
        <charset val="238"/>
      </rPr>
      <t xml:space="preserve"> (bez powierzchni klatek schodowych, w tym podestów, spoczników, pionowych ciągów komunikacyjnych oraz szybów windowych)</t>
    </r>
  </si>
  <si>
    <t>suma miejsc parkingowych zewn. i miejsc postojowych w garażu</t>
  </si>
  <si>
    <t>impz+impg</t>
  </si>
  <si>
    <t>wskaźnik MP</t>
  </si>
  <si>
    <t>0,9 dla mieszkań &lt; 75 m2, 1,8 dla mieszkań &gt; 75 m2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</si>
  <si>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</si>
  <si>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</si>
  <si>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</si>
  <si>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</si>
  <si>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</si>
  <si>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</si>
  <si>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rodzinne (zależne)</t>
  </si>
  <si>
    <t>powierzchnia miejsc postojowych w garażu</t>
  </si>
  <si>
    <t>sumaryczna ilość komórek lokatorskich i boksów</t>
  </si>
  <si>
    <t>ik/b/g+ik</t>
  </si>
  <si>
    <t>ilość miejsc rowerowych w garażu (komórki lokatorskie/boksy/rowerownie  (w tym):</t>
  </si>
  <si>
    <t>ik/b/g</t>
  </si>
  <si>
    <t xml:space="preserve">     ilość komórek lokatorskich tradycyjnych</t>
  </si>
  <si>
    <t xml:space="preserve">     ilość boksów na jednoślady</t>
  </si>
  <si>
    <t xml:space="preserve">     ilość miejsc na jednoślady w rowerowniach</t>
  </si>
  <si>
    <t>powierzchnia komórek lokatorskich/boksów/rowerowni w garażu</t>
  </si>
  <si>
    <t>powierzchnia wspólna hali garażowej (w tym również pomieszczenia techniczne)</t>
  </si>
  <si>
    <t>powierzchnia użytkowa hali garażowej (bez pomieszczeń technicznych)</t>
  </si>
  <si>
    <t>powierzchnia pomieszczeń technicznych w hali garażowej</t>
  </si>
  <si>
    <t>ilość komórek lokatorskich na kodygnacjach naziemnych</t>
  </si>
  <si>
    <t>ik</t>
  </si>
  <si>
    <t>powierzchnia komunikacji pionowej</t>
  </si>
  <si>
    <t>powierzchnia komunikacji poziomej</t>
  </si>
  <si>
    <t>ilość klatek schodowych</t>
  </si>
  <si>
    <t>iks</t>
  </si>
  <si>
    <t>wysokość budynku</t>
  </si>
  <si>
    <t>wysokość parteru netto</t>
  </si>
  <si>
    <t>wysokość kondygnacji mieszkalnych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</si>
  <si>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</si>
  <si>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</si>
  <si>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</si>
  <si>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</si>
  <si>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</si>
  <si>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</si>
  <si>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</si>
  <si>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tarasów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</si>
  <si>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</si>
  <si>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</si>
  <si>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</si>
  <si>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</si>
  <si>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</si>
  <si>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</si>
  <si>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</si>
  <si>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</si>
  <si>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</si>
  <si>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</si>
  <si>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</si>
  <si>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</si>
  <si>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</si>
  <si>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</si>
  <si>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</si>
  <si>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</si>
  <si>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</si>
  <si>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</si>
  <si>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</si>
  <si>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</si>
  <si>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</si>
  <si>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 xml:space="preserve">Pu </t>
  </si>
  <si>
    <t>E6</t>
  </si>
  <si>
    <t>E8</t>
  </si>
  <si>
    <t>REALNE WARTOŚCI POW. UŻYTKOWEJ (BEZ SKORYGOWANIA POD SPEŁNIENIE DŚ)</t>
  </si>
  <si>
    <t>-</t>
  </si>
  <si>
    <t>Dla E6 wymagana ilość miejsc postojowych 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</si>
</sst>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38"/>
    </font>
    <font>
      <sz val="11"/>
      <color theme="1"/>
      <name val="Garamond"/>
      <family val="1"/>
      <charset val="238"/>
    </font>
    <font>
      <b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1"/>
      <color theme="5"/>
      <name val="Calibri"/>
      <family val="2"/>
      <charset val="238"/>
    </font>
    <font>
      <sz val="11"/>
      <color theme="5"/>
      <name val="Calibri"/>
      <family val="2"/>
      <charset val="238"/>
    </font>
    <font>
      <b/>
      <sz val="11"/>
      <color theme="2" tint="-9.9978637043366805E-2"/>
      <name val="Calibri"/>
      <family val="2"/>
      <charset val="238"/>
    </font>
    <font>
      <sz val="11"/>
      <color theme="2" tint="-9.9978637043366805E-2"/>
      <name val="Calibri"/>
      <family val="2"/>
      <charset val="238"/>
    </font>
    <font>
      <b/>
      <sz val="11"/>
      <color theme="1" tint="0.499984740745262"/>
      <name val="Calibri"/>
      <family val="2"/>
      <charset val="238"/>
    </font>
    <font>
      <sz val="11"/>
      <color theme="1" tint="0.499984740745262"/>
      <name val="Calibri"/>
      <family val="2"/>
      <charset val="238"/>
    </font>
    <font>
      <sz val="11"/>
      <color theme="1" tint="0.499984740745262"/>
      <name val="Calibri"/>
      <family val="2"/>
      <charset val="238"/>
    </font>
    <font>
      <b/>
      <sz val="12"/>
      <color rgb="FFFF0000"/>
      <name val="Calibri"/>
      <family val="2"/>
      <charset val="238"/>
    </font>
    <font>
      <b/>
      <sz val="11"/>
      <color rgb="FFFF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  <fill>
      <patternFill patternType="solid">
        <fgColor theme="4" tint="0.79979857783745845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4" fontId="0" fillId="0" borderId="0" xfId="0" applyNumberFormat="1"/>
    <xf numFmtId="0" fontId="0" fillId="2" borderId="9" xfId="0" applyFill="1" applyBorder="1" applyAlignment="1">
      <alignment horizontal="center" vertical="center"/>
    </xf>
    <xf numFmtId="4" fontId="4" fillId="2" borderId="1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5" fillId="4" borderId="11" xfId="0" applyNumberFormat="1" applyFont="1" applyFill="1" applyBorder="1" applyAlignment="1">
      <alignment horizontal="center" vertical="center"/>
    </xf>
    <xf numFmtId="4" fontId="5" fillId="4" borderId="11" xfId="0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" fontId="5" fillId="0" borderId="11" xfId="0" applyNumberFormat="1" applyFont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" fontId="5" fillId="4" borderId="8" xfId="0" applyNumberFormat="1" applyFont="1" applyFill="1" applyBorder="1" applyAlignment="1">
      <alignment horizontal="center" vertical="center"/>
    </xf>
    <xf numFmtId="4" fontId="5" fillId="4" borderId="13" xfId="0" applyNumberFormat="1" applyFont="1" applyFill="1" applyBorder="1" applyAlignment="1">
      <alignment horizontal="center" vertical="center"/>
    </xf>
    <xf numFmtId="4" fontId="5" fillId="4" borderId="7" xfId="0" applyNumberFormat="1" applyFont="1" applyFill="1" applyBorder="1" applyAlignment="1">
      <alignment vertical="center"/>
    </xf>
    <xf numFmtId="4" fontId="5" fillId="4" borderId="14" xfId="0" applyNumberFormat="1" applyFont="1" applyFill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8" fillId="0" borderId="0" xfId="0" applyFont="1"/>
    <xf numFmtId="4" fontId="8" fillId="0" borderId="0" xfId="0" applyNumberFormat="1" applyFont="1"/>
    <xf numFmtId="0" fontId="5" fillId="0" borderId="0" xfId="0" applyFont="1"/>
    <xf numFmtId="0" fontId="5" fillId="2" borderId="11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0" xfId="0" applyNumberFormat="1" applyFont="1"/>
    <xf numFmtId="0" fontId="5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4" fontId="5" fillId="0" borderId="14" xfId="0" applyNumberFormat="1" applyFont="1" applyBorder="1" applyAlignment="1">
      <alignment horizontal="center" vertical="center"/>
    </xf>
    <xf numFmtId="4" fontId="5" fillId="0" borderId="15" xfId="0" applyNumberFormat="1" applyFont="1" applyBorder="1" applyAlignment="1">
      <alignment horizontal="center" vertical="center"/>
    </xf>
    <xf numFmtId="4" fontId="3" fillId="2" borderId="12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4" fontId="3" fillId="2" borderId="9" xfId="0" applyNumberFormat="1" applyFont="1" applyFill="1" applyBorder="1" applyAlignment="1">
      <alignment horizontal="center" vertical="center"/>
    </xf>
    <xf numFmtId="4" fontId="3" fillId="3" borderId="9" xfId="0" applyNumberFormat="1" applyFont="1" applyFill="1" applyBorder="1" applyAlignment="1">
      <alignment horizontal="center" vertical="center"/>
    </xf>
    <xf numFmtId="4" fontId="3" fillId="3" borderId="12" xfId="0" applyNumberFormat="1" applyFont="1" applyFill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2" fontId="3" fillId="2" borderId="11" xfId="0" applyNumberFormat="1" applyFont="1" applyFill="1" applyBorder="1" applyAlignment="1">
      <alignment horizontal="center" vertical="center"/>
    </xf>
    <xf numFmtId="2" fontId="3" fillId="2" borderId="19" xfId="0" applyNumberFormat="1" applyFont="1" applyFill="1" applyBorder="1" applyAlignment="1">
      <alignment horizontal="center" vertical="center"/>
    </xf>
    <xf numFmtId="2" fontId="3" fillId="2" borderId="20" xfId="0" applyNumberFormat="1" applyFont="1" applyFill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2" fontId="4" fillId="2" borderId="19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4" fontId="5" fillId="2" borderId="11" xfId="0" applyNumberFormat="1" applyFont="1" applyFill="1" applyBorder="1" applyAlignment="1">
      <alignment horizontal="center" vertical="center"/>
    </xf>
    <xf numFmtId="4" fontId="5" fillId="2" borderId="12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4" fontId="8" fillId="0" borderId="24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0" fillId="0" borderId="9" xfId="0" applyNumberForma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4" fontId="4" fillId="5" borderId="11" xfId="0" applyNumberFormat="1" applyFont="1" applyFill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right" wrapText="1"/>
    </xf>
    <xf numFmtId="4" fontId="3" fillId="5" borderId="11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wrapText="1"/>
    </xf>
    <xf numFmtId="0" fontId="5" fillId="0" borderId="6" xfId="0" applyFont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right" wrapText="1"/>
    </xf>
    <xf numFmtId="1" fontId="5" fillId="4" borderId="11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4" fontId="0" fillId="4" borderId="11" xfId="0" applyNumberForma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2" fontId="10" fillId="4" borderId="8" xfId="0" applyNumberFormat="1" applyFont="1" applyFill="1" applyBorder="1" applyAlignment="1">
      <alignment horizontal="center" vertical="center"/>
    </xf>
    <xf numFmtId="2" fontId="10" fillId="4" borderId="11" xfId="0" applyNumberFormat="1" applyFont="1" applyFill="1" applyBorder="1" applyAlignment="1">
      <alignment horizontal="center" vertical="center"/>
    </xf>
    <xf numFmtId="4" fontId="10" fillId="4" borderId="11" xfId="0" applyNumberFormat="1" applyFont="1" applyFill="1" applyBorder="1" applyAlignment="1">
      <alignment horizontal="center" vertical="center"/>
    </xf>
    <xf numFmtId="4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4" fontId="12" fillId="4" borderId="8" xfId="0" applyNumberFormat="1" applyFont="1" applyFill="1" applyBorder="1" applyAlignment="1">
      <alignment horizontal="center" vertical="center"/>
    </xf>
    <xf numFmtId="2" fontId="12" fillId="4" borderId="11" xfId="0" applyNumberFormat="1" applyFont="1" applyFill="1" applyBorder="1" applyAlignment="1">
      <alignment horizontal="center" vertical="center"/>
    </xf>
    <xf numFmtId="4" fontId="12" fillId="4" borderId="11" xfId="0" applyNumberFormat="1" applyFont="1" applyFill="1" applyBorder="1" applyAlignment="1">
      <alignment horizontal="center" vertical="center"/>
    </xf>
    <xf numFmtId="0" fontId="13" fillId="0" borderId="24" xfId="0" applyFont="1" applyBorder="1"/>
    <xf numFmtId="4" fontId="12" fillId="4" borderId="13" xfId="0" applyNumberFormat="1" applyFont="1" applyFill="1" applyBorder="1" applyAlignment="1">
      <alignment horizontal="center" vertical="center"/>
    </xf>
    <xf numFmtId="4" fontId="12" fillId="4" borderId="14" xfId="0" applyNumberFormat="1" applyFont="1" applyFill="1" applyBorder="1" applyAlignment="1">
      <alignment vertical="center"/>
    </xf>
    <xf numFmtId="4" fontId="12" fillId="4" borderId="7" xfId="0" applyNumberFormat="1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/>
    </xf>
    <xf numFmtId="2" fontId="12" fillId="4" borderId="28" xfId="0" applyNumberFormat="1" applyFont="1" applyFill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14" fillId="0" borderId="0" xfId="0" applyFont="1"/>
    <xf numFmtId="0" fontId="6" fillId="0" borderId="9" xfId="0" applyFont="1" applyBorder="1"/>
    <xf numFmtId="0" fontId="15" fillId="0" borderId="9" xfId="0" applyFont="1" applyBorder="1" applyAlignment="1">
      <alignment horizontal="center" vertical="center"/>
    </xf>
    <xf numFmtId="0" fontId="6" fillId="0" borderId="9" xfId="0" quotePrefix="1" applyFont="1" applyBorder="1"/>
    <xf numFmtId="0" fontId="6" fillId="0" borderId="0" xfId="0" applyFont="1"/>
    <xf numFmtId="0" fontId="5" fillId="0" borderId="6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" fontId="5" fillId="0" borderId="9" xfId="0" applyNumberFormat="1" applyFont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6E6"/>
      <color rgb="FFFC51D2"/>
      <color rgb="FFF4E3FC"/>
      <color rgb="FFDEF1FF"/>
      <color rgb="FFFFDEDE"/>
      <color rgb="FFE0F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olina Elert" id="{E13A24D1-1BA8-4A4D-AD9A-1B3CEA39B708}" userId="S::k.elert@rebelconcept.com::8eb5e431-cf31-4a36-a490-3fc0219d22c7" providerId="AD"/>
  <person displayName="Katarzyna  Serafin" id="{6AD82921-57E7-4B85-8F83-F80C3BE4D7B0}" userId="S::k.serafin@rebelconcept.com::34551e13-f858-4a21-9dc4-0ef366d85141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" dT="2025-10-01T14:43:26.22" personId="{6AD82921-57E7-4B85-8F83-F80C3BE4D7B0}" id="{F38E39B4-7EB3-4AD3-A879-F1CAEA34623A}">
    <text>powinno być 35 770 zgodnie z wypisami z ewidencji</text>
  </threadedComment>
  <threadedComment ref="E64" dT="2026-07-20T10:31:49.62" personId="{E13A24D1-1BA8-4A4D-AD9A-1B3CEA39B708}" id="{4F88C41B-738A-4B64-B95C-B5E5723AA248}">
    <text>81,68m n.p.m.</text>
  </threadedComment>
  <threadedComment ref="F64" dT="2026-07-20T10:31:49.62" personId="{E13A24D1-1BA8-4A4D-AD9A-1B3CEA39B708}" id="{7FAF091B-290C-4CD9-B707-865CAA17FA3D}">
    <text>81,68m n.p.m.</text>
  </threadedComment>
  <threadedComment ref="G64" dT="2026-07-20T10:56:23.19" personId="{E13A24D1-1BA8-4A4D-AD9A-1B3CEA39B708}" id="{231CB4D4-009F-41AD-ABB2-BF8FDED8A72E}">
    <text>74,89m n.p.m.</text>
  </threadedComment>
  <threadedComment ref="H64" dT="2026-07-20T10:31:49.62" personId="{E13A24D1-1BA8-4A4D-AD9A-1B3CEA39B708}" id="{447326DC-49AA-4B12-99B5-6EE320EB91FC}">
    <text>81,68m n.p.m.</text>
  </threadedComment>
  <threadedComment ref="J64" dT="2026-07-20T11:04:54.00" personId="{E13A24D1-1BA8-4A4D-AD9A-1B3CEA39B708}" id="{AC566EC3-6FC8-4D52-B5BF-C66DFD4280D9}">
    <text>80,87m n.p.m.</text>
  </threadedComment>
  <threadedComment ref="K64" dT="2026-07-20T12:14:20.46" personId="{E13A24D1-1BA8-4A4D-AD9A-1B3CEA39B708}" id="{E5E97353-A16D-48CE-B64A-B9013FC6A033}">
    <text xml:space="preserve">71,90
</text>
  </threadedComment>
  <threadedComment ref="A72" dT="2025-10-07T10:14:57.97" personId="{6AD82921-57E7-4B85-8F83-F80C3BE4D7B0}" id="{B948EF4C-A77B-4EDE-9247-E4AEFB65DA32}">
    <text>dodałam dla doprecyzowania 7 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9"/>
  <sheetViews>
    <sheetView showGridLines="0" tabSelected="1" zoomScale="70" zoomScaleNormal="70" workbookViewId="0">
      <pane ySplit="4" topLeftCell="A6" activePane="bottomLeft" state="frozen"/>
      <selection pane="bottomLeft" activeCell="F34" sqref="F34"/>
    </sheetView>
  </sheetViews>
  <sheetFormatPr defaultColWidth="8.42578125" defaultRowHeight="14.25" customHeight="1" x14ac:dyDescent="0.25"/>
  <cols>
    <col min="1" max="1" width="16.42578125" customWidth="1"/>
    <col min="2" max="2" width="38.140625" style="1" customWidth="1"/>
    <col min="3" max="3" width="11" style="2" customWidth="1"/>
    <col min="4" max="4" width="11" style="2" hidden="1" customWidth="1"/>
    <col min="5" max="11" width="11" style="19" customWidth="1"/>
    <col min="12" max="13" width="12.5703125" style="50" customWidth="1"/>
    <col min="16" max="18" width="10.42578125" style="77" customWidth="1"/>
    <col min="22" max="22" width="10.42578125" customWidth="1"/>
    <col min="23" max="23" width="10.5703125" customWidth="1"/>
  </cols>
  <sheetData>
    <row r="1" spans="1:23" ht="15" x14ac:dyDescent="0.25">
      <c r="A1" s="3" t="s">
        <v>0</v>
      </c>
    </row>
    <row r="2" spans="1:23" ht="15" x14ac:dyDescent="0.25">
      <c r="C2" s="4"/>
      <c r="L2" s="51"/>
    </row>
    <row r="3" spans="1:23" ht="27" customHeight="1" x14ac:dyDescent="0.25">
      <c r="A3" s="138" t="s">
        <v>1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</row>
    <row r="4" spans="1:23" ht="42.75" customHeight="1" x14ac:dyDescent="0.25">
      <c r="A4" s="141" t="s">
        <v>2</v>
      </c>
      <c r="B4" s="142"/>
      <c r="C4" s="5" t="s">
        <v>3</v>
      </c>
      <c r="D4" s="128" t="s">
        <v>4</v>
      </c>
      <c r="E4" s="129" t="s">
        <v>5</v>
      </c>
      <c r="F4" s="129" t="s">
        <v>6</v>
      </c>
      <c r="G4" s="130" t="s">
        <v>7</v>
      </c>
      <c r="H4" s="130" t="s">
        <v>8</v>
      </c>
      <c r="I4" s="130" t="s">
        <v>9</v>
      </c>
      <c r="J4" s="130" t="s">
        <v>10</v>
      </c>
      <c r="K4" s="130" t="s">
        <v>11</v>
      </c>
      <c r="L4" s="5" t="s">
        <v>12</v>
      </c>
      <c r="M4" s="5" t="s">
        <v>13</v>
      </c>
      <c r="P4" s="78" t="s">
        <v>14</v>
      </c>
      <c r="Q4" s="79" t="s">
        <v>15</v>
      </c>
      <c r="R4" s="80" t="s">
        <v>16</v>
      </c>
    </row>
    <row r="5" spans="1:23" ht="21.75" customHeight="1" x14ac:dyDescent="0.25">
      <c r="A5" s="143"/>
      <c r="B5" s="144"/>
      <c r="C5" s="123"/>
      <c r="D5" s="125" t="s">
        <v>17</v>
      </c>
      <c r="E5" s="126" t="s">
        <v>18</v>
      </c>
      <c r="F5" s="126" t="s">
        <v>18</v>
      </c>
      <c r="G5" s="127" t="s">
        <v>17</v>
      </c>
      <c r="H5" s="127" t="s">
        <v>17</v>
      </c>
      <c r="I5" s="127" t="s">
        <v>17</v>
      </c>
      <c r="J5" s="127" t="s">
        <v>17</v>
      </c>
      <c r="K5" s="127" t="s">
        <v>17</v>
      </c>
      <c r="L5" s="123"/>
      <c r="M5" s="124"/>
      <c r="P5" s="78"/>
      <c r="Q5" s="79"/>
      <c r="R5" s="80"/>
    </row>
    <row r="6" spans="1:23" ht="24.75" customHeight="1" x14ac:dyDescent="0.25">
      <c r="A6" s="139" t="s">
        <v>19</v>
      </c>
      <c r="B6" s="139" t="s">
        <v>20</v>
      </c>
      <c r="C6" s="12" t="s">
        <v>21</v>
      </c>
      <c r="D6" s="105">
        <v>6750</v>
      </c>
      <c r="E6" s="25">
        <v>2797</v>
      </c>
      <c r="F6" s="25">
        <v>2683</v>
      </c>
      <c r="G6" s="112">
        <v>5237</v>
      </c>
      <c r="H6" s="112">
        <v>3257</v>
      </c>
      <c r="I6" s="112">
        <v>5385</v>
      </c>
      <c r="J6" s="112">
        <v>7197</v>
      </c>
      <c r="K6" s="112">
        <v>2377</v>
      </c>
      <c r="L6" s="51">
        <f>SUM(E6:K6)</f>
        <v>28933</v>
      </c>
      <c r="M6" s="52">
        <f>SUM(E6:K6)</f>
        <v>28933</v>
      </c>
      <c r="P6" s="81">
        <f>E6+F6+H6</f>
        <v>8737</v>
      </c>
      <c r="Q6" s="82">
        <f>G6+J6+K6</f>
        <v>14811</v>
      </c>
      <c r="R6" s="83">
        <f>I6</f>
        <v>5385</v>
      </c>
    </row>
    <row r="7" spans="1:23" ht="15" customHeight="1" x14ac:dyDescent="0.25">
      <c r="A7" s="140" t="s">
        <v>22</v>
      </c>
      <c r="B7" s="140"/>
      <c r="C7" s="13"/>
      <c r="D7" s="105">
        <v>2063.3000000000002</v>
      </c>
      <c r="E7" s="25">
        <v>894.52</v>
      </c>
      <c r="F7" s="25">
        <v>984.33</v>
      </c>
      <c r="G7" s="112">
        <v>1488.57</v>
      </c>
      <c r="H7" s="112">
        <v>835.45</v>
      </c>
      <c r="I7" s="112">
        <v>1532.46</v>
      </c>
      <c r="J7" s="112">
        <v>1504.8</v>
      </c>
      <c r="K7" s="112">
        <v>516.46</v>
      </c>
      <c r="L7" s="46">
        <f t="shared" ref="L7:L16" si="0">SUM(E7:K7)</f>
        <v>7756.59</v>
      </c>
      <c r="M7" s="53">
        <f>SUM(E7:K7)</f>
        <v>7756.59</v>
      </c>
      <c r="P7" s="81">
        <f>E7+F7+H7</f>
        <v>2714.3</v>
      </c>
      <c r="Q7" s="82">
        <f>G7+J7+K7</f>
        <v>3509.83</v>
      </c>
      <c r="R7" s="83">
        <f>I7</f>
        <v>1532.46</v>
      </c>
      <c r="U7" s="132" t="s">
        <v>134</v>
      </c>
    </row>
    <row r="8" spans="1:23" s="31" customFormat="1" ht="15" customHeight="1" x14ac:dyDescent="0.25">
      <c r="A8" s="140" t="s">
        <v>23</v>
      </c>
      <c r="B8" s="140"/>
      <c r="C8" s="37"/>
      <c r="D8" s="106">
        <f>2063.3/D6</f>
        <v>0.3056740740740741</v>
      </c>
      <c r="E8" s="16">
        <f t="shared" ref="E8:M8" si="1">E7/E6</f>
        <v>0.3198140865212728</v>
      </c>
      <c r="F8" s="16">
        <f t="shared" si="1"/>
        <v>0.36687663063734627</v>
      </c>
      <c r="G8" s="113">
        <f t="shared" si="1"/>
        <v>0.28424097765896505</v>
      </c>
      <c r="H8" s="113">
        <f t="shared" si="1"/>
        <v>0.2565090574147989</v>
      </c>
      <c r="I8" s="113">
        <f t="shared" si="1"/>
        <v>0.28457938718662951</v>
      </c>
      <c r="J8" s="113">
        <f t="shared" si="1"/>
        <v>0.2090871196331805</v>
      </c>
      <c r="K8" s="113">
        <f t="shared" si="1"/>
        <v>0.21727387463188896</v>
      </c>
      <c r="L8" s="46">
        <f t="shared" si="0"/>
        <v>1.9383811336840822</v>
      </c>
      <c r="M8" s="47">
        <f t="shared" si="1"/>
        <v>0.26808799640548853</v>
      </c>
      <c r="P8" s="84"/>
      <c r="Q8" s="85"/>
      <c r="R8" s="86"/>
    </row>
    <row r="9" spans="1:23" s="31" customFormat="1" ht="21" customHeight="1" x14ac:dyDescent="0.25">
      <c r="A9" s="140" t="s">
        <v>24</v>
      </c>
      <c r="B9" s="140"/>
      <c r="C9" s="35"/>
      <c r="D9" s="107">
        <f>SUM(D12:D22)</f>
        <v>2837.46</v>
      </c>
      <c r="E9" s="17">
        <f t="shared" ref="E9:M9" si="2">SUM(E12:E22)</f>
        <v>1041.99</v>
      </c>
      <c r="F9" s="17">
        <f t="shared" si="2"/>
        <v>1076.9299999999998</v>
      </c>
      <c r="G9" s="114">
        <f t="shared" si="2"/>
        <v>928.68000000000006</v>
      </c>
      <c r="H9" s="114">
        <f t="shared" si="2"/>
        <v>1644.2900000000002</v>
      </c>
      <c r="I9" s="114">
        <f t="shared" si="2"/>
        <v>1457.45</v>
      </c>
      <c r="J9" s="114">
        <f t="shared" si="2"/>
        <v>2075.23</v>
      </c>
      <c r="K9" s="114">
        <f t="shared" si="2"/>
        <v>427.75000000000006</v>
      </c>
      <c r="L9" s="20">
        <f t="shared" si="0"/>
        <v>8652.32</v>
      </c>
      <c r="M9" s="47">
        <f t="shared" si="2"/>
        <v>8535.8200000000015</v>
      </c>
      <c r="P9" s="81">
        <f>E9+F9+H9</f>
        <v>3763.21</v>
      </c>
      <c r="Q9" s="82">
        <f>G9+J9+K9</f>
        <v>3431.66</v>
      </c>
      <c r="R9" s="83">
        <f>I9</f>
        <v>1457.45</v>
      </c>
      <c r="T9" s="32"/>
      <c r="U9" s="133"/>
      <c r="V9" s="134" t="s">
        <v>132</v>
      </c>
      <c r="W9" s="134" t="s">
        <v>133</v>
      </c>
    </row>
    <row r="10" spans="1:23" ht="15" customHeight="1" x14ac:dyDescent="0.25">
      <c r="A10" s="137" t="s">
        <v>25</v>
      </c>
      <c r="B10" s="137"/>
      <c r="C10" s="14"/>
      <c r="D10" s="108">
        <v>879.1</v>
      </c>
      <c r="E10" s="17">
        <v>823.55</v>
      </c>
      <c r="F10" s="17">
        <v>978.34</v>
      </c>
      <c r="G10" s="112">
        <v>1470.92</v>
      </c>
      <c r="H10" s="114">
        <v>828.49</v>
      </c>
      <c r="I10" s="114">
        <v>1518.62</v>
      </c>
      <c r="J10" s="112">
        <v>1484.49</v>
      </c>
      <c r="K10" s="114">
        <v>516.47</v>
      </c>
      <c r="L10" s="46">
        <f t="shared" si="0"/>
        <v>7620.88</v>
      </c>
      <c r="M10" s="47">
        <f t="shared" ref="M10:M24" si="3">SUM(E10:K10)</f>
        <v>7620.88</v>
      </c>
      <c r="P10" s="81">
        <f t="shared" ref="P10:P31" si="4">E10+F10+H10</f>
        <v>2630.38</v>
      </c>
      <c r="Q10" s="82">
        <f t="shared" ref="Q10:Q31" si="5">G10+J10+K10</f>
        <v>3471.88</v>
      </c>
      <c r="R10" s="83">
        <f t="shared" ref="R10:R31" si="6">I10</f>
        <v>1518.62</v>
      </c>
      <c r="U10" s="134" t="s">
        <v>56</v>
      </c>
      <c r="V10" s="133">
        <v>13058.66</v>
      </c>
      <c r="W10" s="133">
        <v>4847.47</v>
      </c>
    </row>
    <row r="11" spans="1:23" ht="15" customHeight="1" x14ac:dyDescent="0.25">
      <c r="A11" s="137" t="s">
        <v>26</v>
      </c>
      <c r="B11" s="137"/>
      <c r="C11" s="14"/>
      <c r="D11" s="108">
        <v>33.4</v>
      </c>
      <c r="E11" s="17">
        <v>48.55</v>
      </c>
      <c r="F11" s="17">
        <v>57.95</v>
      </c>
      <c r="G11" s="114">
        <v>79.680000000000007</v>
      </c>
      <c r="H11" s="114">
        <v>0</v>
      </c>
      <c r="I11" s="114">
        <v>50.66</v>
      </c>
      <c r="J11" s="114">
        <v>79.040000000000006</v>
      </c>
      <c r="K11" s="114">
        <v>29.47</v>
      </c>
      <c r="L11" s="46">
        <f t="shared" si="0"/>
        <v>345.35</v>
      </c>
      <c r="M11" s="47">
        <f t="shared" si="3"/>
        <v>345.35</v>
      </c>
      <c r="P11" s="81">
        <f t="shared" si="4"/>
        <v>106.5</v>
      </c>
      <c r="Q11" s="82">
        <f t="shared" si="5"/>
        <v>188.19000000000003</v>
      </c>
      <c r="R11" s="83">
        <f t="shared" si="6"/>
        <v>50.66</v>
      </c>
      <c r="U11" s="134" t="s">
        <v>131</v>
      </c>
      <c r="V11" s="133">
        <v>993.03</v>
      </c>
      <c r="W11" s="135" t="s">
        <v>135</v>
      </c>
    </row>
    <row r="12" spans="1:23" ht="17.25" customHeight="1" x14ac:dyDescent="0.25">
      <c r="A12" s="137" t="s">
        <v>27</v>
      </c>
      <c r="B12" s="137"/>
      <c r="C12" s="14"/>
      <c r="D12" s="108">
        <v>1552.73</v>
      </c>
      <c r="E12" s="17">
        <v>645.84</v>
      </c>
      <c r="F12" s="17">
        <v>687.14</v>
      </c>
      <c r="G12" s="114">
        <v>595.27</v>
      </c>
      <c r="H12" s="114">
        <v>704.84</v>
      </c>
      <c r="I12" s="114">
        <v>1150.79</v>
      </c>
      <c r="J12" s="114">
        <v>631.72</v>
      </c>
      <c r="K12" s="114">
        <v>193.09</v>
      </c>
      <c r="L12" s="46">
        <f t="shared" si="0"/>
        <v>4608.6900000000005</v>
      </c>
      <c r="M12" s="47">
        <f t="shared" si="3"/>
        <v>4608.6900000000005</v>
      </c>
      <c r="P12" s="81">
        <f t="shared" si="4"/>
        <v>2037.8200000000002</v>
      </c>
      <c r="Q12" s="82">
        <f t="shared" si="5"/>
        <v>1420.08</v>
      </c>
      <c r="R12" s="83">
        <f t="shared" si="6"/>
        <v>1150.79</v>
      </c>
    </row>
    <row r="13" spans="1:23" ht="15" customHeight="1" x14ac:dyDescent="0.25">
      <c r="A13" s="137" t="s">
        <v>28</v>
      </c>
      <c r="B13" s="137"/>
      <c r="C13" s="14"/>
      <c r="D13" s="108">
        <v>1056.03</v>
      </c>
      <c r="E13" s="17">
        <v>0</v>
      </c>
      <c r="F13" s="17">
        <v>0</v>
      </c>
      <c r="G13" s="114">
        <v>0</v>
      </c>
      <c r="H13" s="114">
        <v>518.11</v>
      </c>
      <c r="I13" s="114">
        <v>24.22</v>
      </c>
      <c r="J13" s="114">
        <v>749.45</v>
      </c>
      <c r="K13" s="114">
        <v>0</v>
      </c>
      <c r="L13" s="46">
        <f t="shared" si="0"/>
        <v>1291.7800000000002</v>
      </c>
      <c r="M13" s="47">
        <f t="shared" si="3"/>
        <v>1291.7800000000002</v>
      </c>
      <c r="P13" s="81">
        <f t="shared" si="4"/>
        <v>518.11</v>
      </c>
      <c r="Q13" s="82">
        <f t="shared" si="5"/>
        <v>749.45</v>
      </c>
      <c r="R13" s="83">
        <f t="shared" si="6"/>
        <v>24.22</v>
      </c>
      <c r="U13" s="136" t="s">
        <v>136</v>
      </c>
    </row>
    <row r="14" spans="1:23" ht="15" customHeight="1" x14ac:dyDescent="0.25">
      <c r="A14" s="137" t="s">
        <v>29</v>
      </c>
      <c r="B14" s="137"/>
      <c r="C14" s="14"/>
      <c r="D14" s="108"/>
      <c r="E14" s="17">
        <v>0</v>
      </c>
      <c r="F14" s="17">
        <v>0</v>
      </c>
      <c r="G14" s="114">
        <v>0</v>
      </c>
      <c r="H14" s="114">
        <v>24.85</v>
      </c>
      <c r="I14" s="114">
        <v>29.56</v>
      </c>
      <c r="J14" s="114">
        <v>92.65</v>
      </c>
      <c r="K14" s="114">
        <v>0</v>
      </c>
      <c r="L14" s="46">
        <f t="shared" si="0"/>
        <v>147.06</v>
      </c>
      <c r="M14" s="47">
        <f>SUM(E14:K14)</f>
        <v>147.06</v>
      </c>
      <c r="P14" s="81">
        <f t="shared" si="4"/>
        <v>24.85</v>
      </c>
      <c r="Q14" s="82">
        <f t="shared" si="5"/>
        <v>92.65</v>
      </c>
      <c r="R14" s="83">
        <f t="shared" si="6"/>
        <v>29.56</v>
      </c>
    </row>
    <row r="15" spans="1:23" ht="15" customHeight="1" x14ac:dyDescent="0.25">
      <c r="A15" s="137" t="s">
        <v>30</v>
      </c>
      <c r="B15" s="137"/>
      <c r="C15" s="14"/>
      <c r="D15" s="108"/>
      <c r="E15" s="17">
        <v>207.37</v>
      </c>
      <c r="F15" s="17">
        <v>190.67</v>
      </c>
      <c r="G15" s="114">
        <v>0</v>
      </c>
      <c r="H15" s="115">
        <v>198.23</v>
      </c>
      <c r="I15" s="114">
        <v>0</v>
      </c>
      <c r="J15" s="114">
        <v>0</v>
      </c>
      <c r="K15" s="114">
        <v>0</v>
      </c>
      <c r="L15" s="46">
        <f t="shared" si="0"/>
        <v>596.27</v>
      </c>
      <c r="M15" s="47">
        <f t="shared" si="3"/>
        <v>596.27</v>
      </c>
      <c r="P15" s="81">
        <f t="shared" si="4"/>
        <v>596.27</v>
      </c>
      <c r="Q15" s="82">
        <f t="shared" si="5"/>
        <v>0</v>
      </c>
      <c r="R15" s="83">
        <f t="shared" si="6"/>
        <v>0</v>
      </c>
    </row>
    <row r="16" spans="1:23" ht="15" customHeight="1" x14ac:dyDescent="0.25">
      <c r="A16" s="137" t="s">
        <v>31</v>
      </c>
      <c r="B16" s="137"/>
      <c r="C16" s="14"/>
      <c r="D16" s="108">
        <v>134.77000000000001</v>
      </c>
      <c r="E16" s="17">
        <v>38.04</v>
      </c>
      <c r="F16" s="17">
        <v>69.41</v>
      </c>
      <c r="G16" s="114">
        <v>194.1</v>
      </c>
      <c r="H16" s="114">
        <v>38.880000000000003</v>
      </c>
      <c r="I16" s="114">
        <v>9.9600000000000009</v>
      </c>
      <c r="J16" s="114">
        <v>220.92</v>
      </c>
      <c r="K16" s="114">
        <v>208.86</v>
      </c>
      <c r="L16" s="46">
        <f t="shared" si="0"/>
        <v>780.17</v>
      </c>
      <c r="M16" s="47">
        <f t="shared" si="3"/>
        <v>780.17</v>
      </c>
      <c r="P16" s="81">
        <f t="shared" si="4"/>
        <v>146.32999999999998</v>
      </c>
      <c r="Q16" s="82">
        <f t="shared" si="5"/>
        <v>623.88</v>
      </c>
      <c r="R16" s="83">
        <f t="shared" si="6"/>
        <v>9.9600000000000009</v>
      </c>
    </row>
    <row r="17" spans="1:18" ht="15" customHeight="1" x14ac:dyDescent="0.25">
      <c r="A17" s="137" t="s">
        <v>32</v>
      </c>
      <c r="B17" s="137"/>
      <c r="C17" s="14"/>
      <c r="D17" s="108"/>
      <c r="E17" s="17">
        <v>48.24</v>
      </c>
      <c r="F17" s="17">
        <v>38.54</v>
      </c>
      <c r="G17" s="114"/>
      <c r="H17" s="114"/>
      <c r="I17" s="114"/>
      <c r="J17" s="114"/>
      <c r="K17" s="114"/>
      <c r="L17" s="46"/>
      <c r="M17" s="47"/>
      <c r="P17" s="81"/>
      <c r="Q17" s="82"/>
      <c r="R17" s="83"/>
    </row>
    <row r="18" spans="1:18" ht="15" customHeight="1" x14ac:dyDescent="0.25">
      <c r="A18" s="137" t="s">
        <v>33</v>
      </c>
      <c r="B18" s="137"/>
      <c r="C18" s="14"/>
      <c r="D18" s="108"/>
      <c r="E18" s="17">
        <v>16.260000000000002</v>
      </c>
      <c r="F18" s="17">
        <v>13.46</v>
      </c>
      <c r="G18" s="114"/>
      <c r="H18" s="114"/>
      <c r="I18" s="114"/>
      <c r="J18" s="114"/>
      <c r="K18" s="114"/>
      <c r="L18" s="46"/>
      <c r="M18" s="47"/>
      <c r="P18" s="81"/>
      <c r="Q18" s="82"/>
      <c r="R18" s="83"/>
    </row>
    <row r="19" spans="1:18" ht="15" customHeight="1" x14ac:dyDescent="0.25">
      <c r="A19" s="137" t="s">
        <v>34</v>
      </c>
      <c r="B19" s="137"/>
      <c r="C19" s="14"/>
      <c r="D19" s="108"/>
      <c r="E19" s="17">
        <v>13</v>
      </c>
      <c r="F19" s="17">
        <v>0</v>
      </c>
      <c r="G19" s="114">
        <v>74.06</v>
      </c>
      <c r="H19" s="114">
        <v>0</v>
      </c>
      <c r="I19" s="114">
        <v>43.8</v>
      </c>
      <c r="J19" s="114">
        <v>49.5</v>
      </c>
      <c r="K19" s="114">
        <v>21.41</v>
      </c>
      <c r="L19" s="46">
        <f>SUM(E19:K19)</f>
        <v>201.77</v>
      </c>
      <c r="M19" s="47">
        <f t="shared" si="3"/>
        <v>201.77</v>
      </c>
      <c r="P19" s="81">
        <f t="shared" si="4"/>
        <v>13</v>
      </c>
      <c r="Q19" s="82">
        <f t="shared" si="5"/>
        <v>144.97</v>
      </c>
      <c r="R19" s="83">
        <f t="shared" si="6"/>
        <v>43.8</v>
      </c>
    </row>
    <row r="20" spans="1:18" ht="15" customHeight="1" x14ac:dyDescent="0.25">
      <c r="A20" s="137" t="s">
        <v>35</v>
      </c>
      <c r="B20" s="137"/>
      <c r="C20" s="14"/>
      <c r="D20" s="108"/>
      <c r="E20" s="17">
        <v>0</v>
      </c>
      <c r="F20" s="17">
        <v>0</v>
      </c>
      <c r="G20" s="114">
        <v>0</v>
      </c>
      <c r="H20" s="114">
        <v>0</v>
      </c>
      <c r="I20" s="114">
        <v>93.25</v>
      </c>
      <c r="J20" s="114">
        <v>265.55</v>
      </c>
      <c r="K20" s="114">
        <v>0</v>
      </c>
      <c r="L20" s="46">
        <f t="shared" ref="L20:L24" si="7">SUM(E20:K20)</f>
        <v>358.8</v>
      </c>
      <c r="M20" s="47">
        <f t="shared" si="3"/>
        <v>358.8</v>
      </c>
      <c r="P20" s="81">
        <f t="shared" si="4"/>
        <v>0</v>
      </c>
      <c r="Q20" s="82">
        <f t="shared" si="5"/>
        <v>265.55</v>
      </c>
      <c r="R20" s="83">
        <f t="shared" si="6"/>
        <v>93.25</v>
      </c>
    </row>
    <row r="21" spans="1:18" ht="15" customHeight="1" x14ac:dyDescent="0.25">
      <c r="A21" s="137" t="s">
        <v>36</v>
      </c>
      <c r="B21" s="137"/>
      <c r="C21" s="14"/>
      <c r="D21" s="108">
        <v>46.33</v>
      </c>
      <c r="E21" s="17">
        <v>13.76</v>
      </c>
      <c r="F21" s="17">
        <v>13.51</v>
      </c>
      <c r="G21" s="114">
        <v>65.25</v>
      </c>
      <c r="H21" s="114">
        <v>30.9</v>
      </c>
      <c r="I21" s="114">
        <v>25.94</v>
      </c>
      <c r="J21" s="114">
        <v>65.44</v>
      </c>
      <c r="K21" s="114">
        <v>4.3899999999999997</v>
      </c>
      <c r="L21" s="46">
        <f t="shared" si="7"/>
        <v>219.18999999999997</v>
      </c>
      <c r="M21" s="47">
        <f t="shared" si="3"/>
        <v>219.18999999999997</v>
      </c>
      <c r="P21" s="81">
        <f t="shared" si="4"/>
        <v>58.17</v>
      </c>
      <c r="Q21" s="82">
        <f t="shared" si="5"/>
        <v>135.07999999999998</v>
      </c>
      <c r="R21" s="83">
        <f t="shared" si="6"/>
        <v>25.94</v>
      </c>
    </row>
    <row r="22" spans="1:18" ht="15" customHeight="1" x14ac:dyDescent="0.25">
      <c r="A22" s="137" t="s">
        <v>37</v>
      </c>
      <c r="B22" s="137"/>
      <c r="C22" s="14"/>
      <c r="D22" s="108">
        <v>47.6</v>
      </c>
      <c r="E22" s="17">
        <v>59.48</v>
      </c>
      <c r="F22" s="17">
        <v>64.2</v>
      </c>
      <c r="G22" s="114">
        <v>0</v>
      </c>
      <c r="H22" s="114">
        <v>128.47999999999999</v>
      </c>
      <c r="I22" s="114">
        <v>79.930000000000007</v>
      </c>
      <c r="J22" s="114">
        <v>0</v>
      </c>
      <c r="K22" s="114">
        <v>0</v>
      </c>
      <c r="L22" s="46">
        <f t="shared" si="7"/>
        <v>332.09000000000003</v>
      </c>
      <c r="M22" s="47">
        <f t="shared" si="3"/>
        <v>332.09000000000003</v>
      </c>
      <c r="P22" s="81">
        <f t="shared" si="4"/>
        <v>252.16</v>
      </c>
      <c r="Q22" s="82">
        <f t="shared" si="5"/>
        <v>0</v>
      </c>
      <c r="R22" s="83">
        <f t="shared" si="6"/>
        <v>79.930000000000007</v>
      </c>
    </row>
    <row r="23" spans="1:18" s="31" customFormat="1" ht="15" customHeight="1" x14ac:dyDescent="0.25">
      <c r="A23" s="140" t="s">
        <v>38</v>
      </c>
      <c r="B23" s="140"/>
      <c r="C23" s="36"/>
      <c r="D23" s="108">
        <f>SUM(D24:D31)</f>
        <v>2805.25</v>
      </c>
      <c r="E23" s="17">
        <f t="shared" ref="E23:J23" si="8">SUM(E24:E31)</f>
        <v>675.62</v>
      </c>
      <c r="F23" s="17">
        <f t="shared" si="8"/>
        <v>693.47</v>
      </c>
      <c r="G23" s="114">
        <f t="shared" si="8"/>
        <v>2047.37</v>
      </c>
      <c r="H23" s="114">
        <f t="shared" si="8"/>
        <v>602.66000000000008</v>
      </c>
      <c r="I23" s="114">
        <f t="shared" si="8"/>
        <v>1925.2899999999997</v>
      </c>
      <c r="J23" s="114">
        <f t="shared" si="8"/>
        <v>2589.3700000000003</v>
      </c>
      <c r="K23" s="114">
        <f>SUM(K24:K31)</f>
        <v>960.56000000000006</v>
      </c>
      <c r="L23" s="46">
        <f t="shared" si="7"/>
        <v>9494.34</v>
      </c>
      <c r="M23" s="47">
        <f t="shared" si="3"/>
        <v>9494.34</v>
      </c>
      <c r="P23" s="81">
        <f t="shared" si="4"/>
        <v>1971.7500000000002</v>
      </c>
      <c r="Q23" s="82">
        <f t="shared" si="5"/>
        <v>5597.3</v>
      </c>
      <c r="R23" s="83">
        <f t="shared" si="6"/>
        <v>1925.2899999999997</v>
      </c>
    </row>
    <row r="24" spans="1:18" ht="15" customHeight="1" x14ac:dyDescent="0.25">
      <c r="A24" s="137" t="s">
        <v>39</v>
      </c>
      <c r="B24" s="137"/>
      <c r="C24" s="14"/>
      <c r="D24" s="108">
        <v>1824.5</v>
      </c>
      <c r="E24" s="17">
        <v>96.48</v>
      </c>
      <c r="F24" s="17">
        <v>34</v>
      </c>
      <c r="G24" s="114">
        <v>633.66</v>
      </c>
      <c r="H24" s="114">
        <v>71.48</v>
      </c>
      <c r="I24" s="114">
        <v>903.72</v>
      </c>
      <c r="J24" s="114">
        <v>727.21</v>
      </c>
      <c r="K24" s="114">
        <v>278.47000000000003</v>
      </c>
      <c r="L24" s="46">
        <f t="shared" si="7"/>
        <v>2745.0200000000004</v>
      </c>
      <c r="M24" s="47">
        <f t="shared" si="3"/>
        <v>2745.0200000000004</v>
      </c>
      <c r="P24" s="81">
        <f t="shared" si="4"/>
        <v>201.96000000000004</v>
      </c>
      <c r="Q24" s="82">
        <f t="shared" si="5"/>
        <v>1639.34</v>
      </c>
      <c r="R24" s="83">
        <f t="shared" si="6"/>
        <v>903.72</v>
      </c>
    </row>
    <row r="25" spans="1:18" ht="15" customHeight="1" x14ac:dyDescent="0.25">
      <c r="A25" s="137" t="s">
        <v>40</v>
      </c>
      <c r="B25" s="137"/>
      <c r="C25" s="14"/>
      <c r="D25" s="108"/>
      <c r="E25" s="26">
        <v>0</v>
      </c>
      <c r="F25" s="26">
        <v>0</v>
      </c>
      <c r="G25" s="116">
        <v>155.99</v>
      </c>
      <c r="H25" s="116">
        <v>75.44</v>
      </c>
      <c r="I25" s="116">
        <v>44.38</v>
      </c>
      <c r="J25" s="116">
        <v>355.87</v>
      </c>
      <c r="K25" s="116">
        <v>0</v>
      </c>
      <c r="L25" s="54"/>
      <c r="M25" s="55"/>
      <c r="P25" s="81">
        <f t="shared" si="4"/>
        <v>75.44</v>
      </c>
      <c r="Q25" s="82">
        <f t="shared" si="5"/>
        <v>511.86</v>
      </c>
      <c r="R25" s="83">
        <f t="shared" si="6"/>
        <v>44.38</v>
      </c>
    </row>
    <row r="26" spans="1:18" ht="15" customHeight="1" x14ac:dyDescent="0.25">
      <c r="A26" s="137" t="s">
        <v>41</v>
      </c>
      <c r="B26" s="137"/>
      <c r="C26" s="14"/>
      <c r="D26" s="108">
        <v>264.72000000000003</v>
      </c>
      <c r="E26" s="28"/>
      <c r="F26" s="28"/>
      <c r="G26" s="117"/>
      <c r="H26" s="117"/>
      <c r="I26" s="117"/>
      <c r="J26" s="117"/>
      <c r="K26" s="117"/>
      <c r="L26" s="145">
        <f>SUM(E26:K27)+D26+D27</f>
        <v>5022.8599999999997</v>
      </c>
      <c r="M26" s="146">
        <f>SUM(E26:K27)</f>
        <v>4410.1499999999996</v>
      </c>
      <c r="P26" s="81">
        <f t="shared" si="4"/>
        <v>0</v>
      </c>
      <c r="Q26" s="82">
        <f t="shared" si="5"/>
        <v>0</v>
      </c>
      <c r="R26" s="83">
        <f t="shared" si="6"/>
        <v>0</v>
      </c>
    </row>
    <row r="27" spans="1:18" ht="15" customHeight="1" x14ac:dyDescent="0.25">
      <c r="A27" s="137" t="s">
        <v>42</v>
      </c>
      <c r="B27" s="137"/>
      <c r="C27" s="14"/>
      <c r="D27" s="108">
        <v>347.99</v>
      </c>
      <c r="E27" s="27">
        <v>335.26</v>
      </c>
      <c r="F27" s="27">
        <v>345</v>
      </c>
      <c r="G27" s="118">
        <v>963.31</v>
      </c>
      <c r="H27" s="118">
        <v>307.19</v>
      </c>
      <c r="I27" s="118">
        <v>690.31</v>
      </c>
      <c r="J27" s="118">
        <v>1211.1400000000001</v>
      </c>
      <c r="K27" s="118">
        <v>557.94000000000005</v>
      </c>
      <c r="L27" s="145"/>
      <c r="M27" s="146"/>
      <c r="P27" s="81">
        <f t="shared" si="4"/>
        <v>987.45</v>
      </c>
      <c r="Q27" s="82">
        <f t="shared" si="5"/>
        <v>2732.39</v>
      </c>
      <c r="R27" s="83">
        <f t="shared" si="6"/>
        <v>690.31</v>
      </c>
    </row>
    <row r="28" spans="1:18" ht="15" customHeight="1" x14ac:dyDescent="0.25">
      <c r="A28" s="137" t="s">
        <v>43</v>
      </c>
      <c r="B28" s="137"/>
      <c r="C28" s="14"/>
      <c r="D28" s="109">
        <v>0</v>
      </c>
      <c r="E28" s="16">
        <v>0</v>
      </c>
      <c r="F28" s="16">
        <v>0</v>
      </c>
      <c r="G28" s="113">
        <v>0</v>
      </c>
      <c r="H28" s="113">
        <v>0</v>
      </c>
      <c r="I28" s="113">
        <v>0</v>
      </c>
      <c r="J28" s="113">
        <v>0</v>
      </c>
      <c r="K28" s="113">
        <v>0</v>
      </c>
      <c r="L28" s="46">
        <f>SUM(D28:K28)</f>
        <v>0</v>
      </c>
      <c r="M28" s="47">
        <f>SUM(E28:K28)</f>
        <v>0</v>
      </c>
      <c r="P28" s="81">
        <f t="shared" si="4"/>
        <v>0</v>
      </c>
      <c r="Q28" s="82">
        <f t="shared" si="5"/>
        <v>0</v>
      </c>
      <c r="R28" s="83">
        <f t="shared" si="6"/>
        <v>0</v>
      </c>
    </row>
    <row r="29" spans="1:18" ht="15" customHeight="1" x14ac:dyDescent="0.25">
      <c r="A29" s="156" t="s">
        <v>44</v>
      </c>
      <c r="B29" s="97" t="s">
        <v>45</v>
      </c>
      <c r="C29" s="14"/>
      <c r="D29" s="110">
        <v>368.04</v>
      </c>
      <c r="E29" s="16">
        <f>165.36+63.24</f>
        <v>228.60000000000002</v>
      </c>
      <c r="F29" s="16">
        <f>202.26+96.09</f>
        <v>298.35000000000002</v>
      </c>
      <c r="G29" s="113">
        <v>243.29</v>
      </c>
      <c r="H29" s="113">
        <v>148.55000000000001</v>
      </c>
      <c r="I29" s="113">
        <v>250.55</v>
      </c>
      <c r="J29" s="113">
        <v>250.38</v>
      </c>
      <c r="K29" s="113">
        <v>101.25</v>
      </c>
      <c r="L29" s="46"/>
      <c r="M29" s="47"/>
      <c r="P29" s="81">
        <f t="shared" si="4"/>
        <v>675.5</v>
      </c>
      <c r="Q29" s="82">
        <f t="shared" si="5"/>
        <v>594.91999999999996</v>
      </c>
      <c r="R29" s="83">
        <f t="shared" si="6"/>
        <v>250.55</v>
      </c>
    </row>
    <row r="30" spans="1:18" ht="15" customHeight="1" x14ac:dyDescent="0.25">
      <c r="A30" s="157"/>
      <c r="B30" s="97" t="s">
        <v>46</v>
      </c>
      <c r="C30" s="14"/>
      <c r="D30" s="109"/>
      <c r="E30" s="16">
        <v>0</v>
      </c>
      <c r="F30" s="16">
        <v>0</v>
      </c>
      <c r="G30" s="113">
        <v>11.28</v>
      </c>
      <c r="H30" s="119">
        <v>0</v>
      </c>
      <c r="I30" s="113">
        <v>11</v>
      </c>
      <c r="J30" s="113">
        <v>5.25</v>
      </c>
      <c r="K30" s="113">
        <v>8.17</v>
      </c>
      <c r="L30" s="46"/>
      <c r="M30" s="47"/>
      <c r="P30" s="81">
        <f t="shared" si="4"/>
        <v>0</v>
      </c>
      <c r="Q30" s="82">
        <f t="shared" si="5"/>
        <v>24.700000000000003</v>
      </c>
      <c r="R30" s="83">
        <f t="shared" si="6"/>
        <v>11</v>
      </c>
    </row>
    <row r="31" spans="1:18" ht="15" customHeight="1" x14ac:dyDescent="0.25">
      <c r="A31" s="158"/>
      <c r="B31" s="131" t="s">
        <v>47</v>
      </c>
      <c r="C31" s="14"/>
      <c r="D31" s="111"/>
      <c r="E31" s="16">
        <v>15.28</v>
      </c>
      <c r="F31" s="16">
        <v>16.12</v>
      </c>
      <c r="G31" s="113">
        <v>39.840000000000003</v>
      </c>
      <c r="H31" s="113">
        <v>0</v>
      </c>
      <c r="I31" s="120">
        <v>25.33</v>
      </c>
      <c r="J31" s="113">
        <v>39.520000000000003</v>
      </c>
      <c r="K31" s="113">
        <v>14.73</v>
      </c>
      <c r="L31" s="46">
        <f>SUM(D31:K31)</f>
        <v>150.82</v>
      </c>
      <c r="M31" s="47">
        <f>SUM(E31:K31)</f>
        <v>150.82</v>
      </c>
      <c r="P31" s="81">
        <f t="shared" si="4"/>
        <v>31.4</v>
      </c>
      <c r="Q31" s="82">
        <f t="shared" si="5"/>
        <v>94.090000000000018</v>
      </c>
      <c r="R31" s="83">
        <f t="shared" si="6"/>
        <v>25.33</v>
      </c>
    </row>
    <row r="32" spans="1:18" s="31" customFormat="1" ht="15" customHeight="1" x14ac:dyDescent="0.25">
      <c r="A32" s="140" t="s">
        <v>48</v>
      </c>
      <c r="B32" s="140"/>
      <c r="C32" s="35"/>
      <c r="D32" s="110">
        <f t="shared" ref="D32:M32" si="9">D23/D6</f>
        <v>0.41559259259259257</v>
      </c>
      <c r="E32" s="23">
        <f t="shared" si="9"/>
        <v>0.24155166249553092</v>
      </c>
      <c r="F32" s="23">
        <f t="shared" si="9"/>
        <v>0.25846813268729035</v>
      </c>
      <c r="G32" s="121">
        <f t="shared" si="9"/>
        <v>0.39094328814206603</v>
      </c>
      <c r="H32" s="122">
        <f t="shared" si="9"/>
        <v>0.18503530856616521</v>
      </c>
      <c r="I32" s="121">
        <f t="shared" si="9"/>
        <v>0.35752831940575669</v>
      </c>
      <c r="J32" s="121">
        <f t="shared" si="9"/>
        <v>0.35978463248575798</v>
      </c>
      <c r="K32" s="121">
        <f t="shared" si="9"/>
        <v>0.40410601598653767</v>
      </c>
      <c r="L32" s="23">
        <f t="shared" si="9"/>
        <v>0.32814917222548645</v>
      </c>
      <c r="M32" s="45">
        <f t="shared" si="9"/>
        <v>0.32814917222548645</v>
      </c>
      <c r="P32" s="87"/>
      <c r="Q32" s="87"/>
      <c r="R32" s="87"/>
    </row>
    <row r="33" spans="1:18" s="31" customFormat="1" ht="15" customHeight="1" x14ac:dyDescent="0.25">
      <c r="A33" s="147" t="s">
        <v>49</v>
      </c>
      <c r="B33" s="147"/>
      <c r="C33" s="7" t="s">
        <v>50</v>
      </c>
      <c r="D33" s="72">
        <f t="shared" ref="D33:M33" si="10">SUM(D39,D36)</f>
        <v>9135.99</v>
      </c>
      <c r="E33" s="72">
        <f>SUM(E39,E36)</f>
        <v>9452.92</v>
      </c>
      <c r="F33" s="72">
        <f>SUM(F39,F36)</f>
        <v>9536.5600000000013</v>
      </c>
      <c r="G33" s="72">
        <f t="shared" si="10"/>
        <v>14336.05</v>
      </c>
      <c r="H33" s="72">
        <f t="shared" si="10"/>
        <v>9439.42</v>
      </c>
      <c r="I33" s="72">
        <f t="shared" si="10"/>
        <v>14934.51</v>
      </c>
      <c r="J33" s="72">
        <f t="shared" si="10"/>
        <v>16322.82</v>
      </c>
      <c r="K33" s="72">
        <f>SUM(K39,K36)</f>
        <v>5111.33</v>
      </c>
      <c r="L33" s="72">
        <f t="shared" si="10"/>
        <v>88269.6</v>
      </c>
      <c r="M33" s="73">
        <f t="shared" si="10"/>
        <v>79133.609999999986</v>
      </c>
      <c r="P33" s="87"/>
      <c r="Q33" s="87">
        <f>M33/(M74+M76)</f>
        <v>0.4916646971153093</v>
      </c>
      <c r="R33" s="87"/>
    </row>
    <row r="34" spans="1:18" s="31" customFormat="1" ht="62.25" customHeight="1" x14ac:dyDescent="0.25">
      <c r="A34" s="147" t="s">
        <v>51</v>
      </c>
      <c r="B34" s="147"/>
      <c r="C34" s="7" t="s">
        <v>52</v>
      </c>
      <c r="D34" s="74">
        <f t="shared" ref="D34:M34" si="11">D35+D38</f>
        <v>113</v>
      </c>
      <c r="E34" s="74">
        <f t="shared" si="11"/>
        <v>174</v>
      </c>
      <c r="F34" s="74">
        <f t="shared" si="11"/>
        <v>183</v>
      </c>
      <c r="G34" s="74">
        <f t="shared" si="11"/>
        <v>273</v>
      </c>
      <c r="H34" s="74">
        <f t="shared" si="11"/>
        <v>180</v>
      </c>
      <c r="I34" s="74">
        <f t="shared" si="11"/>
        <v>296</v>
      </c>
      <c r="J34" s="74">
        <f t="shared" si="11"/>
        <v>313</v>
      </c>
      <c r="K34" s="74">
        <f t="shared" si="11"/>
        <v>101</v>
      </c>
      <c r="L34" s="74">
        <f t="shared" si="11"/>
        <v>1633</v>
      </c>
      <c r="M34" s="44">
        <f t="shared" si="11"/>
        <v>1520</v>
      </c>
      <c r="P34" s="87"/>
      <c r="Q34" s="87"/>
      <c r="R34" s="87"/>
    </row>
    <row r="35" spans="1:18" ht="15" customHeight="1" x14ac:dyDescent="0.25">
      <c r="A35" s="148" t="s">
        <v>53</v>
      </c>
      <c r="B35" s="148" t="s">
        <v>20</v>
      </c>
      <c r="C35" s="9" t="s">
        <v>54</v>
      </c>
      <c r="D35" s="29">
        <v>108</v>
      </c>
      <c r="E35" s="18">
        <f>168</f>
        <v>168</v>
      </c>
      <c r="F35" s="18">
        <f>172+4</f>
        <v>176</v>
      </c>
      <c r="G35" s="29">
        <f>272+1</f>
        <v>273</v>
      </c>
      <c r="H35" s="29">
        <f>170+3</f>
        <v>173</v>
      </c>
      <c r="I35" s="29">
        <v>287</v>
      </c>
      <c r="J35" s="29">
        <v>313</v>
      </c>
      <c r="K35" s="29">
        <v>101</v>
      </c>
      <c r="L35" s="14">
        <f>SUM(D35:K35)</f>
        <v>1599</v>
      </c>
      <c r="M35" s="22">
        <f>SUM(E35:K35)</f>
        <v>1491</v>
      </c>
      <c r="P35" s="81">
        <f t="shared" ref="P35:P36" si="12">E35+F35+H35</f>
        <v>517</v>
      </c>
      <c r="Q35" s="82">
        <f t="shared" ref="Q35:Q36" si="13">G35+J35+K35</f>
        <v>687</v>
      </c>
      <c r="R35" s="83">
        <f t="shared" ref="R35:R36" si="14">I35</f>
        <v>287</v>
      </c>
    </row>
    <row r="36" spans="1:18" ht="15" customHeight="1" x14ac:dyDescent="0.25">
      <c r="A36" s="148" t="s">
        <v>55</v>
      </c>
      <c r="B36" s="148" t="s">
        <v>56</v>
      </c>
      <c r="C36" s="9" t="s">
        <v>57</v>
      </c>
      <c r="D36" s="71">
        <v>6368.36</v>
      </c>
      <c r="E36" s="98">
        <v>8853.02</v>
      </c>
      <c r="F36" s="99">
        <v>8844.11</v>
      </c>
      <c r="G36" s="96">
        <v>14336.05</v>
      </c>
      <c r="H36" s="96">
        <v>8893.36</v>
      </c>
      <c r="I36" s="46">
        <v>13912.35</v>
      </c>
      <c r="J36" s="96">
        <v>16322.82</v>
      </c>
      <c r="K36" s="46">
        <v>5111.33</v>
      </c>
      <c r="L36" s="46">
        <f>SUM(D36:K36)</f>
        <v>82641.400000000009</v>
      </c>
      <c r="M36" s="47">
        <f>SUM(E36:K36)</f>
        <v>76273.039999999994</v>
      </c>
      <c r="P36" s="81">
        <f t="shared" si="12"/>
        <v>26590.49</v>
      </c>
      <c r="Q36" s="82">
        <f t="shared" si="13"/>
        <v>35770.199999999997</v>
      </c>
      <c r="R36" s="83">
        <f t="shared" si="14"/>
        <v>13912.35</v>
      </c>
    </row>
    <row r="37" spans="1:18" s="31" customFormat="1" ht="15" customHeight="1" x14ac:dyDescent="0.25">
      <c r="A37" s="149" t="s">
        <v>58</v>
      </c>
      <c r="B37" s="149" t="s">
        <v>59</v>
      </c>
      <c r="C37" s="7" t="s">
        <v>60</v>
      </c>
      <c r="D37" s="57">
        <f t="shared" ref="D37:M37" si="15">D36/D35</f>
        <v>58.966296296296292</v>
      </c>
      <c r="E37" s="57">
        <f>E36/E35</f>
        <v>52.696547619047621</v>
      </c>
      <c r="F37" s="57">
        <f>F36/F35</f>
        <v>50.250625000000007</v>
      </c>
      <c r="G37" s="57">
        <f t="shared" si="15"/>
        <v>52.513003663003659</v>
      </c>
      <c r="H37" s="57">
        <f t="shared" si="15"/>
        <v>51.406705202312139</v>
      </c>
      <c r="I37" s="57">
        <f t="shared" si="15"/>
        <v>48.475087108013938</v>
      </c>
      <c r="J37" s="57">
        <f t="shared" si="15"/>
        <v>52.149584664536739</v>
      </c>
      <c r="K37" s="57">
        <f t="shared" si="15"/>
        <v>50.607227722772279</v>
      </c>
      <c r="L37" s="57">
        <f t="shared" si="15"/>
        <v>51.683176985616015</v>
      </c>
      <c r="M37" s="58">
        <f t="shared" si="15"/>
        <v>51.155627095908784</v>
      </c>
      <c r="P37" s="87"/>
      <c r="Q37" s="87"/>
      <c r="R37" s="87"/>
    </row>
    <row r="38" spans="1:18" ht="15" customHeight="1" x14ac:dyDescent="0.25">
      <c r="A38" s="148" t="s">
        <v>61</v>
      </c>
      <c r="B38" s="148" t="s">
        <v>62</v>
      </c>
      <c r="C38" s="9" t="s">
        <v>63</v>
      </c>
      <c r="D38" s="18">
        <v>5</v>
      </c>
      <c r="E38" s="18">
        <v>6</v>
      </c>
      <c r="F38" s="18">
        <v>7</v>
      </c>
      <c r="G38" s="29">
        <v>0</v>
      </c>
      <c r="H38" s="29">
        <v>7</v>
      </c>
      <c r="I38" s="29">
        <v>9</v>
      </c>
      <c r="J38" s="29">
        <v>0</v>
      </c>
      <c r="K38" s="29">
        <v>0</v>
      </c>
      <c r="L38" s="46">
        <f>SUM(D38:K38)</f>
        <v>34</v>
      </c>
      <c r="M38" s="22">
        <f>SUM(E38:K38)</f>
        <v>29</v>
      </c>
      <c r="P38" s="81">
        <f t="shared" ref="P38:P41" si="16">E38+F38+H38</f>
        <v>20</v>
      </c>
      <c r="Q38" s="82">
        <f t="shared" ref="Q38:Q41" si="17">G38+J38+K38</f>
        <v>0</v>
      </c>
      <c r="R38" s="83">
        <f t="shared" ref="R38:R41" si="18">I38</f>
        <v>9</v>
      </c>
    </row>
    <row r="39" spans="1:18" ht="15" customHeight="1" x14ac:dyDescent="0.25">
      <c r="A39" s="148" t="s">
        <v>64</v>
      </c>
      <c r="B39" s="148" t="s">
        <v>65</v>
      </c>
      <c r="C39" s="9" t="s">
        <v>66</v>
      </c>
      <c r="D39" s="18">
        <v>2767.63</v>
      </c>
      <c r="E39" s="100">
        <v>599.9</v>
      </c>
      <c r="F39" s="100">
        <v>692.45</v>
      </c>
      <c r="G39" s="46">
        <v>0</v>
      </c>
      <c r="H39" s="94">
        <v>546.05999999999995</v>
      </c>
      <c r="I39" s="46">
        <v>1022.16</v>
      </c>
      <c r="J39" s="46">
        <v>0</v>
      </c>
      <c r="K39" s="46">
        <v>0</v>
      </c>
      <c r="L39" s="46">
        <f>SUM(D39:K39)</f>
        <v>5628.2000000000007</v>
      </c>
      <c r="M39" s="47">
        <f>SUM(E39:K39)</f>
        <v>2860.5699999999997</v>
      </c>
      <c r="P39" s="81">
        <f t="shared" si="16"/>
        <v>1838.4099999999999</v>
      </c>
      <c r="Q39" s="82">
        <f t="shared" si="17"/>
        <v>0</v>
      </c>
      <c r="R39" s="83">
        <f t="shared" si="18"/>
        <v>1022.16</v>
      </c>
    </row>
    <row r="40" spans="1:18" ht="45" customHeight="1" x14ac:dyDescent="0.25">
      <c r="A40" s="140" t="s">
        <v>67</v>
      </c>
      <c r="B40" s="150" t="s">
        <v>68</v>
      </c>
      <c r="C40" s="9"/>
      <c r="D40" s="29">
        <v>1175.19</v>
      </c>
      <c r="E40" s="17">
        <v>1867.56</v>
      </c>
      <c r="F40" s="17">
        <v>1808.95</v>
      </c>
      <c r="G40" s="20">
        <v>3043.65</v>
      </c>
      <c r="H40" s="20">
        <v>1811.78</v>
      </c>
      <c r="I40" s="20">
        <v>3453.65</v>
      </c>
      <c r="J40" s="20">
        <v>3343.56</v>
      </c>
      <c r="K40" s="20">
        <v>1398.62</v>
      </c>
      <c r="L40" s="46">
        <f>SUM(D40:K40)</f>
        <v>17902.96</v>
      </c>
      <c r="M40" s="47">
        <f>SUM(E40:K40)</f>
        <v>16727.77</v>
      </c>
      <c r="P40" s="81">
        <f>E40+F40+H40</f>
        <v>5488.29</v>
      </c>
      <c r="Q40" s="82">
        <f t="shared" si="17"/>
        <v>7785.83</v>
      </c>
      <c r="R40" s="83">
        <f t="shared" si="18"/>
        <v>3453.65</v>
      </c>
    </row>
    <row r="41" spans="1:18" ht="45" customHeight="1" x14ac:dyDescent="0.25">
      <c r="A41" s="150" t="s">
        <v>69</v>
      </c>
      <c r="B41" s="150" t="s">
        <v>68</v>
      </c>
      <c r="C41" s="9"/>
      <c r="D41" s="20">
        <v>879.21</v>
      </c>
      <c r="E41" s="20">
        <f t="shared" ref="E41:K41" si="19">E40-E61</f>
        <v>1302.1099999999999</v>
      </c>
      <c r="F41" s="20">
        <f t="shared" si="19"/>
        <v>1359.38</v>
      </c>
      <c r="G41" s="20">
        <f t="shared" si="19"/>
        <v>2145.54</v>
      </c>
      <c r="H41" s="20">
        <f t="shared" si="19"/>
        <v>1168.69</v>
      </c>
      <c r="I41" s="20">
        <f t="shared" si="19"/>
        <v>2307.42</v>
      </c>
      <c r="J41" s="20">
        <f t="shared" si="19"/>
        <v>2277.98</v>
      </c>
      <c r="K41" s="20">
        <f t="shared" si="19"/>
        <v>1004.8599999999999</v>
      </c>
      <c r="L41" s="46">
        <f>SUM(D41:K41)</f>
        <v>12445.19</v>
      </c>
      <c r="M41" s="47">
        <f>SUM(E41:K41)</f>
        <v>11565.98</v>
      </c>
      <c r="P41" s="81">
        <f t="shared" si="16"/>
        <v>3830.18</v>
      </c>
      <c r="Q41" s="82">
        <f t="shared" si="17"/>
        <v>5428.38</v>
      </c>
      <c r="R41" s="83">
        <f t="shared" si="18"/>
        <v>2307.42</v>
      </c>
    </row>
    <row r="42" spans="1:18" s="33" customFormat="1" ht="29.25" customHeight="1" x14ac:dyDescent="0.25">
      <c r="A42" s="151" t="s">
        <v>70</v>
      </c>
      <c r="B42" s="151"/>
      <c r="C42" s="40" t="s">
        <v>71</v>
      </c>
      <c r="D42" s="74">
        <f t="shared" ref="D42:L42" si="20">SUM(D48,D47)</f>
        <v>126</v>
      </c>
      <c r="E42" s="74">
        <f>SUM(E48,E47)</f>
        <v>137</v>
      </c>
      <c r="F42" s="74">
        <f>SUM(F48,F47)</f>
        <v>193</v>
      </c>
      <c r="G42" s="74">
        <f>SUM(G48,G47)</f>
        <v>247</v>
      </c>
      <c r="H42" s="74">
        <f>SUM(H48,H47)</f>
        <v>167</v>
      </c>
      <c r="I42" s="74">
        <f>SUM(I48,I47)</f>
        <v>273</v>
      </c>
      <c r="J42" s="74">
        <f t="shared" si="20"/>
        <v>285</v>
      </c>
      <c r="K42" s="74">
        <f t="shared" si="20"/>
        <v>91</v>
      </c>
      <c r="L42" s="74">
        <f t="shared" si="20"/>
        <v>1519</v>
      </c>
      <c r="M42" s="75">
        <f>SUM(M48,M47)</f>
        <v>1393</v>
      </c>
      <c r="P42" s="88"/>
      <c r="Q42" s="88"/>
      <c r="R42" s="88"/>
    </row>
    <row r="43" spans="1:18" s="33" customFormat="1" ht="15" customHeight="1" x14ac:dyDescent="0.25">
      <c r="A43" s="152" t="s">
        <v>72</v>
      </c>
      <c r="B43" s="152"/>
      <c r="C43" s="34"/>
      <c r="D43" s="153" t="s">
        <v>73</v>
      </c>
      <c r="E43" s="153"/>
      <c r="F43" s="153"/>
      <c r="G43" s="153"/>
      <c r="H43" s="153"/>
      <c r="I43" s="153"/>
      <c r="J43" s="153"/>
      <c r="K43" s="153"/>
      <c r="L43" s="153"/>
      <c r="M43" s="153"/>
      <c r="P43" s="88"/>
      <c r="Q43" s="88"/>
      <c r="R43" s="88"/>
    </row>
    <row r="44" spans="1:18" s="33" customFormat="1" ht="15" customHeight="1" x14ac:dyDescent="0.25">
      <c r="A44" s="140" t="s">
        <v>74</v>
      </c>
      <c r="B44" s="140"/>
      <c r="C44" s="14"/>
      <c r="D44" s="29">
        <v>126</v>
      </c>
      <c r="E44" s="101">
        <v>161</v>
      </c>
      <c r="F44" s="101">
        <v>169</v>
      </c>
      <c r="G44" s="93">
        <v>247</v>
      </c>
      <c r="H44" s="93">
        <v>165</v>
      </c>
      <c r="I44" s="93">
        <v>273</v>
      </c>
      <c r="J44" s="93">
        <v>283</v>
      </c>
      <c r="K44" s="93">
        <v>91</v>
      </c>
      <c r="L44" s="14">
        <f t="shared" ref="L44:L50" si="21">SUM(D44:K44)</f>
        <v>1515</v>
      </c>
      <c r="M44" s="38">
        <f>SUM(E44:K44)</f>
        <v>1389</v>
      </c>
      <c r="N44" s="39"/>
      <c r="O44" s="39"/>
      <c r="P44" s="81">
        <f t="shared" ref="P44:P50" si="22">E44+F44+H44</f>
        <v>495</v>
      </c>
      <c r="Q44" s="82">
        <f t="shared" ref="Q44:Q50" si="23">G44+J44+K44</f>
        <v>621</v>
      </c>
      <c r="R44" s="83">
        <f t="shared" ref="R44:R50" si="24">I44</f>
        <v>273</v>
      </c>
    </row>
    <row r="45" spans="1:18" s="33" customFormat="1" ht="15" customHeight="1" x14ac:dyDescent="0.25">
      <c r="A45" s="137" t="s">
        <v>75</v>
      </c>
      <c r="B45" s="137" t="s">
        <v>68</v>
      </c>
      <c r="C45" s="14"/>
      <c r="D45" s="29">
        <v>0</v>
      </c>
      <c r="E45" s="18">
        <v>0</v>
      </c>
      <c r="F45" s="18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14">
        <f t="shared" si="21"/>
        <v>0</v>
      </c>
      <c r="M45" s="38">
        <f>SUM(E45:K45)</f>
        <v>0</v>
      </c>
      <c r="P45" s="81">
        <f t="shared" si="22"/>
        <v>0</v>
      </c>
      <c r="Q45" s="82">
        <f t="shared" si="23"/>
        <v>0</v>
      </c>
      <c r="R45" s="83">
        <f t="shared" si="24"/>
        <v>0</v>
      </c>
    </row>
    <row r="46" spans="1:18" s="33" customFormat="1" ht="15" customHeight="1" x14ac:dyDescent="0.25">
      <c r="A46" s="137" t="s">
        <v>76</v>
      </c>
      <c r="B46" s="137" t="s">
        <v>68</v>
      </c>
      <c r="C46" s="14" t="s">
        <v>77</v>
      </c>
      <c r="D46" s="29">
        <v>19</v>
      </c>
      <c r="E46" s="29">
        <v>0</v>
      </c>
      <c r="F46" s="29">
        <v>0</v>
      </c>
      <c r="G46" s="29">
        <v>0</v>
      </c>
      <c r="H46" s="29">
        <v>2</v>
      </c>
      <c r="I46" s="29">
        <v>1</v>
      </c>
      <c r="J46" s="29">
        <v>2</v>
      </c>
      <c r="K46" s="29">
        <v>0</v>
      </c>
      <c r="L46" s="14">
        <f t="shared" si="21"/>
        <v>24</v>
      </c>
      <c r="M46" s="22">
        <f>SUM(E46:K46)</f>
        <v>5</v>
      </c>
      <c r="P46" s="81">
        <f t="shared" si="22"/>
        <v>2</v>
      </c>
      <c r="Q46" s="82">
        <f t="shared" si="23"/>
        <v>2</v>
      </c>
      <c r="R46" s="83">
        <f t="shared" si="24"/>
        <v>1</v>
      </c>
    </row>
    <row r="47" spans="1:18" s="33" customFormat="1" ht="15" customHeight="1" x14ac:dyDescent="0.25">
      <c r="A47" s="137" t="s">
        <v>76</v>
      </c>
      <c r="B47" s="137" t="s">
        <v>68</v>
      </c>
      <c r="C47" s="14" t="s">
        <v>77</v>
      </c>
      <c r="D47" s="29">
        <v>19</v>
      </c>
      <c r="E47" s="18">
        <v>0</v>
      </c>
      <c r="F47" s="18">
        <v>0</v>
      </c>
      <c r="G47" s="29">
        <v>0</v>
      </c>
      <c r="H47" s="29">
        <v>2</v>
      </c>
      <c r="I47" s="29">
        <v>1</v>
      </c>
      <c r="J47" s="29">
        <v>2</v>
      </c>
      <c r="K47" s="29">
        <v>0</v>
      </c>
      <c r="L47" s="14">
        <f t="shared" si="21"/>
        <v>24</v>
      </c>
      <c r="M47" s="22">
        <f>SUM(E47:K47)</f>
        <v>5</v>
      </c>
      <c r="P47" s="81">
        <f t="shared" si="22"/>
        <v>2</v>
      </c>
      <c r="Q47" s="82">
        <f t="shared" si="23"/>
        <v>2</v>
      </c>
      <c r="R47" s="83">
        <f t="shared" si="24"/>
        <v>1</v>
      </c>
    </row>
    <row r="48" spans="1:18" s="33" customFormat="1" ht="15" customHeight="1" x14ac:dyDescent="0.25">
      <c r="A48" s="137" t="s">
        <v>78</v>
      </c>
      <c r="B48" s="137"/>
      <c r="C48" s="14" t="s">
        <v>79</v>
      </c>
      <c r="D48" s="29">
        <v>107</v>
      </c>
      <c r="E48" s="18">
        <v>137</v>
      </c>
      <c r="F48" s="18">
        <v>193</v>
      </c>
      <c r="G48" s="29">
        <v>247</v>
      </c>
      <c r="H48" s="29">
        <v>165</v>
      </c>
      <c r="I48" s="29">
        <v>272</v>
      </c>
      <c r="J48" s="29">
        <v>283</v>
      </c>
      <c r="K48" s="29">
        <v>91</v>
      </c>
      <c r="L48" s="14">
        <f t="shared" si="21"/>
        <v>1495</v>
      </c>
      <c r="M48" s="22">
        <f>SUM(E48:K48)</f>
        <v>1388</v>
      </c>
      <c r="N48" s="39"/>
      <c r="P48" s="81">
        <f t="shared" si="22"/>
        <v>495</v>
      </c>
      <c r="Q48" s="82">
        <f t="shared" si="23"/>
        <v>621</v>
      </c>
      <c r="R48" s="83">
        <f t="shared" si="24"/>
        <v>272</v>
      </c>
    </row>
    <row r="49" spans="1:18" s="33" customFormat="1" ht="15" customHeight="1" x14ac:dyDescent="0.25">
      <c r="A49" s="137" t="s">
        <v>80</v>
      </c>
      <c r="B49" s="137"/>
      <c r="C49" s="14"/>
      <c r="D49" s="29">
        <v>0</v>
      </c>
      <c r="E49" s="18">
        <v>0</v>
      </c>
      <c r="F49" s="18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14">
        <f t="shared" si="21"/>
        <v>0</v>
      </c>
      <c r="M49" s="22">
        <v>0</v>
      </c>
      <c r="P49" s="81">
        <f t="shared" si="22"/>
        <v>0</v>
      </c>
      <c r="Q49" s="82">
        <f t="shared" si="23"/>
        <v>0</v>
      </c>
      <c r="R49" s="83">
        <f t="shared" si="24"/>
        <v>0</v>
      </c>
    </row>
    <row r="50" spans="1:18" s="33" customFormat="1" ht="15" customHeight="1" x14ac:dyDescent="0.25">
      <c r="A50" s="137" t="s">
        <v>81</v>
      </c>
      <c r="B50" s="137"/>
      <c r="C50" s="14"/>
      <c r="D50" s="23">
        <v>779</v>
      </c>
      <c r="E50" s="16">
        <v>2594.44</v>
      </c>
      <c r="F50" s="16">
        <v>3472.98</v>
      </c>
      <c r="G50" s="23">
        <v>4481.78</v>
      </c>
      <c r="H50" s="23">
        <v>2854.82</v>
      </c>
      <c r="I50" s="23">
        <v>5556.96</v>
      </c>
      <c r="J50" s="23">
        <v>4917.74</v>
      </c>
      <c r="K50" s="23">
        <v>1165</v>
      </c>
      <c r="L50" s="23">
        <f t="shared" si="21"/>
        <v>25822.720000000001</v>
      </c>
      <c r="M50" s="45">
        <f>SUM(E50:K50)</f>
        <v>25043.72</v>
      </c>
      <c r="P50" s="81">
        <f t="shared" si="22"/>
        <v>8922.24</v>
      </c>
      <c r="Q50" s="82">
        <f t="shared" si="23"/>
        <v>10564.52</v>
      </c>
      <c r="R50" s="83">
        <f t="shared" si="24"/>
        <v>5556.96</v>
      </c>
    </row>
    <row r="51" spans="1:18" s="49" customFormat="1" ht="15" customHeight="1" x14ac:dyDescent="0.25">
      <c r="A51" s="151" t="s">
        <v>82</v>
      </c>
      <c r="B51" s="151"/>
      <c r="C51" s="40" t="s">
        <v>83</v>
      </c>
      <c r="D51" s="41">
        <f t="shared" ref="D51:M51" si="25">SUM(D53:D54)</f>
        <v>65</v>
      </c>
      <c r="E51" s="41">
        <f>SUM(E53:E54)</f>
        <v>23</v>
      </c>
      <c r="F51" s="41">
        <f>SUM(F53:F54)</f>
        <v>56</v>
      </c>
      <c r="G51" s="104">
        <f>SUM(G53:G54)</f>
        <v>116</v>
      </c>
      <c r="H51" s="104">
        <f t="shared" si="25"/>
        <v>73</v>
      </c>
      <c r="I51" s="104">
        <f>SUM(I53:I54)</f>
        <v>81</v>
      </c>
      <c r="J51" s="104">
        <f>SUM(J53:J54)</f>
        <v>124</v>
      </c>
      <c r="K51" s="104">
        <f>SUM(K53:K54)</f>
        <v>129</v>
      </c>
      <c r="L51" s="104">
        <f t="shared" si="25"/>
        <v>667</v>
      </c>
      <c r="M51" s="48">
        <f t="shared" si="25"/>
        <v>602</v>
      </c>
      <c r="P51" s="89"/>
      <c r="Q51" s="89"/>
      <c r="R51" s="89"/>
    </row>
    <row r="52" spans="1:18" s="33" customFormat="1" ht="30" customHeight="1" x14ac:dyDescent="0.25">
      <c r="A52" s="137" t="s">
        <v>84</v>
      </c>
      <c r="B52" s="137"/>
      <c r="C52" s="14" t="s">
        <v>85</v>
      </c>
      <c r="D52" s="29">
        <f>SUM(D53:D55)</f>
        <v>65</v>
      </c>
      <c r="E52" s="18">
        <f>SUM(E53:E55)</f>
        <v>183</v>
      </c>
      <c r="F52" s="18">
        <f>SUM(F53:F55)</f>
        <v>198</v>
      </c>
      <c r="G52" s="29">
        <f>SUM(G53:G55)</f>
        <v>311</v>
      </c>
      <c r="H52" s="29">
        <v>202</v>
      </c>
      <c r="I52" s="29">
        <v>345</v>
      </c>
      <c r="J52" s="29">
        <v>321</v>
      </c>
      <c r="K52" s="29">
        <f>SUM(K53:K55)</f>
        <v>165</v>
      </c>
      <c r="L52" s="14">
        <f t="shared" ref="L52:L59" si="26">SUM(D52:K52)</f>
        <v>1790</v>
      </c>
      <c r="M52" s="22">
        <f t="shared" ref="M52:M59" si="27">SUM(E52:K52)</f>
        <v>1725</v>
      </c>
      <c r="P52" s="81">
        <f t="shared" ref="P52:P63" si="28">E52+F52+H52</f>
        <v>583</v>
      </c>
      <c r="Q52" s="82">
        <f t="shared" ref="Q52:Q63" si="29">G52+J52+K52</f>
        <v>797</v>
      </c>
      <c r="R52" s="83">
        <f t="shared" ref="R52:R63" si="30">I52</f>
        <v>345</v>
      </c>
    </row>
    <row r="53" spans="1:18" s="33" customFormat="1" ht="15" customHeight="1" x14ac:dyDescent="0.25">
      <c r="A53" s="137" t="s">
        <v>86</v>
      </c>
      <c r="B53" s="137"/>
      <c r="C53" s="14"/>
      <c r="D53" s="29">
        <v>58</v>
      </c>
      <c r="E53" s="18">
        <v>5</v>
      </c>
      <c r="F53" s="18">
        <v>2</v>
      </c>
      <c r="G53" s="29">
        <v>15</v>
      </c>
      <c r="H53" s="29">
        <v>14</v>
      </c>
      <c r="I53" s="29">
        <v>0</v>
      </c>
      <c r="J53" s="29">
        <v>6</v>
      </c>
      <c r="K53" s="29">
        <v>6</v>
      </c>
      <c r="L53" s="14">
        <f t="shared" si="26"/>
        <v>106</v>
      </c>
      <c r="M53" s="22">
        <f t="shared" si="27"/>
        <v>48</v>
      </c>
      <c r="P53" s="81">
        <f t="shared" si="28"/>
        <v>21</v>
      </c>
      <c r="Q53" s="82">
        <f t="shared" si="29"/>
        <v>27</v>
      </c>
      <c r="R53" s="83">
        <f t="shared" si="30"/>
        <v>0</v>
      </c>
    </row>
    <row r="54" spans="1:18" s="33" customFormat="1" ht="15" customHeight="1" x14ac:dyDescent="0.25">
      <c r="A54" s="137" t="s">
        <v>87</v>
      </c>
      <c r="B54" s="137"/>
      <c r="C54" s="14"/>
      <c r="D54" s="29">
        <v>7</v>
      </c>
      <c r="E54" s="18">
        <v>18</v>
      </c>
      <c r="F54" s="18">
        <v>54</v>
      </c>
      <c r="G54" s="29">
        <v>101</v>
      </c>
      <c r="H54" s="29">
        <v>59</v>
      </c>
      <c r="I54" s="29">
        <v>81</v>
      </c>
      <c r="J54" s="29">
        <v>118</v>
      </c>
      <c r="K54" s="29">
        <v>123</v>
      </c>
      <c r="L54" s="14">
        <f t="shared" si="26"/>
        <v>561</v>
      </c>
      <c r="M54" s="22">
        <f t="shared" si="27"/>
        <v>554</v>
      </c>
      <c r="P54" s="81">
        <f t="shared" si="28"/>
        <v>131</v>
      </c>
      <c r="Q54" s="82">
        <f t="shared" si="29"/>
        <v>342</v>
      </c>
      <c r="R54" s="83">
        <f t="shared" si="30"/>
        <v>81</v>
      </c>
    </row>
    <row r="55" spans="1:18" s="33" customFormat="1" ht="24" customHeight="1" x14ac:dyDescent="0.25">
      <c r="A55" s="137" t="s">
        <v>88</v>
      </c>
      <c r="B55" s="137"/>
      <c r="C55" s="14"/>
      <c r="D55" s="29">
        <v>0</v>
      </c>
      <c r="E55" s="18">
        <v>160</v>
      </c>
      <c r="F55" s="18">
        <v>142</v>
      </c>
      <c r="G55" s="29">
        <v>195</v>
      </c>
      <c r="H55" s="29">
        <v>129</v>
      </c>
      <c r="I55" s="29">
        <v>264</v>
      </c>
      <c r="J55" s="29">
        <v>198</v>
      </c>
      <c r="K55" s="29">
        <v>36</v>
      </c>
      <c r="L55" s="14">
        <f t="shared" si="26"/>
        <v>1124</v>
      </c>
      <c r="M55" s="22">
        <f t="shared" si="27"/>
        <v>1124</v>
      </c>
      <c r="P55" s="81">
        <f t="shared" si="28"/>
        <v>431</v>
      </c>
      <c r="Q55" s="82">
        <f t="shared" si="29"/>
        <v>429</v>
      </c>
      <c r="R55" s="83">
        <f t="shared" si="30"/>
        <v>264</v>
      </c>
    </row>
    <row r="56" spans="1:18" s="33" customFormat="1" ht="33.75" customHeight="1" x14ac:dyDescent="0.25">
      <c r="A56" s="137" t="s">
        <v>89</v>
      </c>
      <c r="B56" s="137"/>
      <c r="C56" s="14"/>
      <c r="D56" s="20">
        <v>207.07</v>
      </c>
      <c r="E56" s="17">
        <f>14.53+70.57+103.62</f>
        <v>188.72</v>
      </c>
      <c r="F56" s="17">
        <f>8.03+187.25+95.95</f>
        <v>291.23</v>
      </c>
      <c r="G56" s="20">
        <f>329.9+91.01+145.17</f>
        <v>566.07999999999993</v>
      </c>
      <c r="H56" s="20">
        <f>45.01+217.46+143.61</f>
        <v>406.08000000000004</v>
      </c>
      <c r="I56" s="20">
        <f>310.88+328.7</f>
        <v>639.57999999999993</v>
      </c>
      <c r="J56" s="20">
        <f>398.39+25.86+144.17</f>
        <v>568.41999999999996</v>
      </c>
      <c r="K56" s="20">
        <f>29.33+417.23+19.31</f>
        <v>465.87</v>
      </c>
      <c r="L56" s="46">
        <f t="shared" si="26"/>
        <v>3333.0499999999997</v>
      </c>
      <c r="M56" s="47">
        <f t="shared" si="27"/>
        <v>3125.98</v>
      </c>
      <c r="P56" s="81">
        <f t="shared" si="28"/>
        <v>886.03000000000009</v>
      </c>
      <c r="Q56" s="82">
        <f t="shared" si="29"/>
        <v>1600.37</v>
      </c>
      <c r="R56" s="83">
        <f t="shared" si="30"/>
        <v>639.57999999999993</v>
      </c>
    </row>
    <row r="57" spans="1:18" s="33" customFormat="1" ht="28.5" customHeight="1" x14ac:dyDescent="0.25">
      <c r="A57" s="137" t="s">
        <v>90</v>
      </c>
      <c r="B57" s="137"/>
      <c r="C57" s="14"/>
      <c r="D57" s="20">
        <f>SUM(D58,D59)</f>
        <v>1970.3400000000001</v>
      </c>
      <c r="E57" s="17">
        <f>SUM(E58,E59)</f>
        <v>3533.6</v>
      </c>
      <c r="F57" s="17">
        <f t="shared" ref="F57:K57" si="31">SUM(F58,F59)</f>
        <v>4773.8899999999994</v>
      </c>
      <c r="G57" s="20">
        <f>SUM(G58,G59)</f>
        <v>6340.6399999999994</v>
      </c>
      <c r="H57" s="20">
        <f t="shared" si="31"/>
        <v>4546.1000000000004</v>
      </c>
      <c r="I57" s="20">
        <f>SUM(I58,I59)</f>
        <v>6220.48</v>
      </c>
      <c r="J57" s="20">
        <f t="shared" si="31"/>
        <v>7826.5300000000007</v>
      </c>
      <c r="K57" s="20">
        <f t="shared" si="31"/>
        <v>2821.8599999999997</v>
      </c>
      <c r="L57" s="46">
        <f t="shared" si="26"/>
        <v>38033.440000000002</v>
      </c>
      <c r="M57" s="47">
        <f t="shared" si="27"/>
        <v>36063.1</v>
      </c>
      <c r="P57" s="81">
        <f t="shared" si="28"/>
        <v>12853.59</v>
      </c>
      <c r="Q57" s="82">
        <f t="shared" si="29"/>
        <v>16989.03</v>
      </c>
      <c r="R57" s="83">
        <f t="shared" si="30"/>
        <v>6220.48</v>
      </c>
    </row>
    <row r="58" spans="1:18" s="33" customFormat="1" ht="28.5" customHeight="1" x14ac:dyDescent="0.25">
      <c r="A58" s="137" t="s">
        <v>91</v>
      </c>
      <c r="B58" s="137"/>
      <c r="C58" s="14"/>
      <c r="D58" s="29">
        <v>1708.96</v>
      </c>
      <c r="E58" s="17">
        <v>3352.64</v>
      </c>
      <c r="F58" s="17">
        <v>4297.66</v>
      </c>
      <c r="G58" s="20">
        <v>6106.98</v>
      </c>
      <c r="H58" s="20">
        <v>4394.54</v>
      </c>
      <c r="I58" s="20">
        <v>5881.2</v>
      </c>
      <c r="J58" s="20">
        <v>7628.72</v>
      </c>
      <c r="K58" s="20">
        <v>2666.74</v>
      </c>
      <c r="L58" s="46">
        <f t="shared" si="26"/>
        <v>36037.439999999995</v>
      </c>
      <c r="M58" s="47">
        <f t="shared" si="27"/>
        <v>34328.480000000003</v>
      </c>
      <c r="P58" s="81">
        <f t="shared" si="28"/>
        <v>12044.84</v>
      </c>
      <c r="Q58" s="82">
        <f t="shared" si="29"/>
        <v>16402.440000000002</v>
      </c>
      <c r="R58" s="83">
        <f t="shared" si="30"/>
        <v>5881.2</v>
      </c>
    </row>
    <row r="59" spans="1:18" s="33" customFormat="1" ht="28.5" customHeight="1" x14ac:dyDescent="0.25">
      <c r="A59" s="137" t="s">
        <v>92</v>
      </c>
      <c r="B59" s="137"/>
      <c r="C59" s="14"/>
      <c r="D59" s="29">
        <v>261.38</v>
      </c>
      <c r="E59" s="16">
        <v>180.96</v>
      </c>
      <c r="F59" s="16">
        <v>476.23</v>
      </c>
      <c r="G59" s="23">
        <v>233.66</v>
      </c>
      <c r="H59" s="23">
        <v>151.56</v>
      </c>
      <c r="I59" s="23">
        <v>339.28</v>
      </c>
      <c r="J59" s="23">
        <v>197.81</v>
      </c>
      <c r="K59" s="23">
        <v>155.12</v>
      </c>
      <c r="L59" s="46">
        <f t="shared" si="26"/>
        <v>1996</v>
      </c>
      <c r="M59" s="47">
        <f t="shared" si="27"/>
        <v>1734.62</v>
      </c>
      <c r="P59" s="81">
        <f t="shared" si="28"/>
        <v>808.75</v>
      </c>
      <c r="Q59" s="82">
        <f t="shared" si="29"/>
        <v>586.59</v>
      </c>
      <c r="R59" s="83">
        <f t="shared" si="30"/>
        <v>339.28</v>
      </c>
    </row>
    <row r="60" spans="1:18" s="33" customFormat="1" ht="15" customHeight="1" x14ac:dyDescent="0.25">
      <c r="A60" s="137" t="s">
        <v>93</v>
      </c>
      <c r="B60" s="137"/>
      <c r="C60" s="14" t="s">
        <v>94</v>
      </c>
      <c r="D60" s="29">
        <v>0</v>
      </c>
      <c r="E60" s="18">
        <v>0</v>
      </c>
      <c r="F60" s="18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42">
        <f>SUM(D60:K60)</f>
        <v>0</v>
      </c>
      <c r="M60" s="43">
        <f>SUM(E60:K60)</f>
        <v>0</v>
      </c>
      <c r="P60" s="81">
        <f t="shared" si="28"/>
        <v>0</v>
      </c>
      <c r="Q60" s="82">
        <f t="shared" si="29"/>
        <v>0</v>
      </c>
      <c r="R60" s="83">
        <f t="shared" si="30"/>
        <v>0</v>
      </c>
    </row>
    <row r="61" spans="1:18" s="33" customFormat="1" ht="15" customHeight="1" x14ac:dyDescent="0.25">
      <c r="A61" s="137" t="s">
        <v>95</v>
      </c>
      <c r="B61" s="137"/>
      <c r="C61" s="14"/>
      <c r="D61" s="29">
        <v>295.98</v>
      </c>
      <c r="E61" s="17">
        <v>565.45000000000005</v>
      </c>
      <c r="F61" s="17">
        <v>449.57</v>
      </c>
      <c r="G61" s="20">
        <v>898.11</v>
      </c>
      <c r="H61" s="29">
        <v>643.09</v>
      </c>
      <c r="I61" s="20">
        <v>1146.23</v>
      </c>
      <c r="J61" s="20">
        <v>1065.58</v>
      </c>
      <c r="K61" s="20">
        <v>393.76</v>
      </c>
      <c r="L61" s="46">
        <f>SUM(D61:K61)</f>
        <v>5457.77</v>
      </c>
      <c r="M61" s="47">
        <f>SUM(E61:K61)</f>
        <v>5161.7900000000009</v>
      </c>
      <c r="P61" s="81">
        <f t="shared" si="28"/>
        <v>1658.1100000000001</v>
      </c>
      <c r="Q61" s="82">
        <f t="shared" si="29"/>
        <v>2357.4499999999998</v>
      </c>
      <c r="R61" s="83">
        <f t="shared" si="30"/>
        <v>1146.23</v>
      </c>
    </row>
    <row r="62" spans="1:18" s="33" customFormat="1" ht="15" customHeight="1" x14ac:dyDescent="0.25">
      <c r="A62" s="137" t="s">
        <v>96</v>
      </c>
      <c r="B62" s="137"/>
      <c r="C62" s="14"/>
      <c r="D62" s="29">
        <v>846.8</v>
      </c>
      <c r="E62" s="18">
        <v>1130.52</v>
      </c>
      <c r="F62" s="18">
        <v>1169.6099999999999</v>
      </c>
      <c r="G62" s="29">
        <v>2000.1</v>
      </c>
      <c r="H62" s="29">
        <v>1144.04</v>
      </c>
      <c r="I62" s="29">
        <v>2016.8</v>
      </c>
      <c r="J62" s="23">
        <v>2188.9899999999998</v>
      </c>
      <c r="K62" s="29">
        <v>932.33</v>
      </c>
      <c r="L62" s="46">
        <f>SUM(D62:K62)</f>
        <v>11429.189999999999</v>
      </c>
      <c r="M62" s="47">
        <f>SUM(E62:K62)</f>
        <v>10582.39</v>
      </c>
      <c r="P62" s="81">
        <f t="shared" si="28"/>
        <v>3444.17</v>
      </c>
      <c r="Q62" s="82">
        <f t="shared" si="29"/>
        <v>5121.42</v>
      </c>
      <c r="R62" s="83">
        <f t="shared" si="30"/>
        <v>2016.8</v>
      </c>
    </row>
    <row r="63" spans="1:18" s="33" customFormat="1" ht="15" customHeight="1" x14ac:dyDescent="0.25">
      <c r="A63" s="140" t="s">
        <v>97</v>
      </c>
      <c r="B63" s="140"/>
      <c r="C63" s="14" t="s">
        <v>98</v>
      </c>
      <c r="D63" s="76">
        <v>2</v>
      </c>
      <c r="E63" s="102">
        <v>1</v>
      </c>
      <c r="F63" s="102">
        <v>1</v>
      </c>
      <c r="G63" s="76">
        <v>2</v>
      </c>
      <c r="H63" s="76">
        <v>1</v>
      </c>
      <c r="I63" s="76">
        <v>2</v>
      </c>
      <c r="J63" s="76">
        <v>2</v>
      </c>
      <c r="K63" s="76">
        <v>1</v>
      </c>
      <c r="L63" s="15">
        <f>SUM(D63:K63)</f>
        <v>12</v>
      </c>
      <c r="M63" s="24">
        <f>SUM(E63:K63)</f>
        <v>10</v>
      </c>
      <c r="P63" s="81">
        <f t="shared" si="28"/>
        <v>3</v>
      </c>
      <c r="Q63" s="82">
        <f t="shared" si="29"/>
        <v>5</v>
      </c>
      <c r="R63" s="83">
        <f t="shared" si="30"/>
        <v>2</v>
      </c>
    </row>
    <row r="64" spans="1:18" s="33" customFormat="1" ht="15" customHeight="1" x14ac:dyDescent="0.25">
      <c r="A64" s="137" t="s">
        <v>99</v>
      </c>
      <c r="B64" s="137"/>
      <c r="C64" s="14"/>
      <c r="D64" s="29">
        <v>32.89</v>
      </c>
      <c r="E64" s="16">
        <v>54.98</v>
      </c>
      <c r="F64" s="16">
        <v>54.98</v>
      </c>
      <c r="G64" s="29">
        <v>48.19</v>
      </c>
      <c r="H64" s="23">
        <v>54.98</v>
      </c>
      <c r="I64" s="23">
        <v>55</v>
      </c>
      <c r="J64" s="29">
        <v>54.17</v>
      </c>
      <c r="K64" s="23">
        <v>45.2</v>
      </c>
      <c r="L64" s="154"/>
      <c r="M64" s="154"/>
      <c r="P64" s="88"/>
      <c r="Q64" s="88"/>
      <c r="R64" s="88"/>
    </row>
    <row r="65" spans="1:20" ht="15" customHeight="1" x14ac:dyDescent="0.25">
      <c r="A65" s="148" t="s">
        <v>100</v>
      </c>
      <c r="B65" s="148"/>
      <c r="C65" s="9"/>
      <c r="D65" s="30">
        <v>2.63</v>
      </c>
      <c r="E65" s="18">
        <v>3.26</v>
      </c>
      <c r="F65" s="18">
        <v>3.26</v>
      </c>
      <c r="G65" s="29">
        <v>2.6349999999999998</v>
      </c>
      <c r="H65" s="29">
        <v>3.3</v>
      </c>
      <c r="I65" s="29">
        <v>3.26</v>
      </c>
      <c r="J65" s="29">
        <v>2.6349999999999998</v>
      </c>
      <c r="K65" s="29">
        <v>2.6349999999999998</v>
      </c>
      <c r="L65" s="154"/>
      <c r="M65" s="154"/>
    </row>
    <row r="66" spans="1:20" ht="15" customHeight="1" x14ac:dyDescent="0.25">
      <c r="A66" s="148" t="s">
        <v>101</v>
      </c>
      <c r="B66" s="148"/>
      <c r="C66" s="9"/>
      <c r="D66" s="30">
        <v>2.63</v>
      </c>
      <c r="E66" s="18">
        <v>2.65</v>
      </c>
      <c r="F66" s="18">
        <v>2.65</v>
      </c>
      <c r="G66" s="29">
        <v>2.6349999999999998</v>
      </c>
      <c r="H66" s="29">
        <v>2.6349999999999998</v>
      </c>
      <c r="I66" s="29">
        <v>2.6349999999999998</v>
      </c>
      <c r="J66" s="29">
        <v>2.6349999999999998</v>
      </c>
      <c r="K66" s="29">
        <v>2.6349999999999998</v>
      </c>
      <c r="L66" s="154"/>
      <c r="M66" s="154"/>
    </row>
    <row r="67" spans="1:20" ht="15" customHeight="1" x14ac:dyDescent="0.25">
      <c r="A67" s="148" t="s">
        <v>102</v>
      </c>
      <c r="B67" s="148"/>
      <c r="C67" s="9"/>
      <c r="D67" s="10">
        <v>11</v>
      </c>
      <c r="E67" s="29">
        <v>18</v>
      </c>
      <c r="F67" s="29">
        <v>18</v>
      </c>
      <c r="G67" s="29">
        <v>16</v>
      </c>
      <c r="H67" s="29">
        <v>18</v>
      </c>
      <c r="I67" s="29">
        <v>18</v>
      </c>
      <c r="J67" s="29">
        <v>18</v>
      </c>
      <c r="K67" s="29">
        <v>15</v>
      </c>
      <c r="L67" s="154"/>
      <c r="M67" s="154"/>
    </row>
    <row r="68" spans="1:20" ht="15" customHeight="1" x14ac:dyDescent="0.25">
      <c r="A68" s="148" t="s">
        <v>103</v>
      </c>
      <c r="B68" s="148"/>
      <c r="C68" s="9"/>
      <c r="D68" s="10">
        <v>3</v>
      </c>
      <c r="E68" s="29">
        <v>2</v>
      </c>
      <c r="F68" s="29">
        <v>2</v>
      </c>
      <c r="G68" s="29">
        <v>2</v>
      </c>
      <c r="H68" s="29">
        <v>2</v>
      </c>
      <c r="I68" s="29">
        <v>2</v>
      </c>
      <c r="J68" s="29">
        <v>2</v>
      </c>
      <c r="K68" s="29">
        <v>2</v>
      </c>
      <c r="L68" s="154"/>
      <c r="M68" s="154"/>
    </row>
    <row r="69" spans="1:20" ht="15" customHeight="1" x14ac:dyDescent="0.25">
      <c r="A69" s="148" t="s">
        <v>104</v>
      </c>
      <c r="B69" s="148"/>
      <c r="C69" s="9" t="s">
        <v>105</v>
      </c>
      <c r="D69" s="10">
        <v>4</v>
      </c>
      <c r="E69" s="29">
        <v>2</v>
      </c>
      <c r="F69" s="29">
        <v>2</v>
      </c>
      <c r="G69" s="29">
        <v>4</v>
      </c>
      <c r="H69" s="29">
        <v>2</v>
      </c>
      <c r="I69" s="29">
        <v>4</v>
      </c>
      <c r="J69" s="29">
        <v>4</v>
      </c>
      <c r="K69" s="29">
        <v>2</v>
      </c>
      <c r="L69" s="14">
        <f>SUM(D69:K69)</f>
        <v>24</v>
      </c>
      <c r="M69" s="22">
        <f>SUM(E69:K69)</f>
        <v>20</v>
      </c>
      <c r="P69" s="81">
        <f t="shared" ref="P69" si="32">E69+F69+H69</f>
        <v>6</v>
      </c>
      <c r="Q69" s="82">
        <f t="shared" ref="Q69" si="33">G69+J69+K69</f>
        <v>10</v>
      </c>
      <c r="R69" s="83">
        <f t="shared" ref="R69" si="34">I69</f>
        <v>4</v>
      </c>
    </row>
    <row r="70" spans="1:20" ht="15" customHeight="1" x14ac:dyDescent="0.25">
      <c r="A70" s="147" t="s">
        <v>106</v>
      </c>
      <c r="B70" s="147"/>
      <c r="C70" s="7" t="s">
        <v>107</v>
      </c>
      <c r="D70" s="8">
        <v>15122</v>
      </c>
      <c r="E70" s="8">
        <f t="shared" ref="E70:H70" si="35">E74+E76</f>
        <v>18021.57</v>
      </c>
      <c r="F70" s="8">
        <f t="shared" si="35"/>
        <v>19286.690000000002</v>
      </c>
      <c r="G70" s="8">
        <f t="shared" si="35"/>
        <v>29178.36</v>
      </c>
      <c r="H70" s="8">
        <f t="shared" si="35"/>
        <v>19612.98</v>
      </c>
      <c r="I70" s="8">
        <f>I74+I76</f>
        <v>29494.29</v>
      </c>
      <c r="J70" s="8">
        <f>J74+J76</f>
        <v>33846.5</v>
      </c>
      <c r="K70" s="8">
        <f>K74+K76</f>
        <v>11509.970000000001</v>
      </c>
      <c r="L70" s="59">
        <f>SUM(D70:K70)</f>
        <v>176072.36</v>
      </c>
      <c r="M70" s="56">
        <f>SUM(E70:K70)</f>
        <v>160950.35999999999</v>
      </c>
    </row>
    <row r="71" spans="1:20" ht="15" customHeight="1" x14ac:dyDescent="0.25">
      <c r="A71" s="148" t="s">
        <v>108</v>
      </c>
      <c r="B71" s="148"/>
      <c r="C71" s="9"/>
      <c r="D71" s="11">
        <v>773.75</v>
      </c>
      <c r="E71" s="103">
        <v>807.2</v>
      </c>
      <c r="F71" s="103">
        <v>827.16</v>
      </c>
      <c r="G71" s="11">
        <v>1097.73</v>
      </c>
      <c r="H71" s="11">
        <v>830.14</v>
      </c>
      <c r="I71" s="11">
        <v>1312.83</v>
      </c>
      <c r="J71" s="11">
        <v>1273.71</v>
      </c>
      <c r="K71" s="11">
        <v>387.19</v>
      </c>
      <c r="L71" s="20">
        <f>SUM(D71:K71)</f>
        <v>7309.71</v>
      </c>
      <c r="M71" s="47">
        <f>SUM(E71:K71)</f>
        <v>6535.9599999999991</v>
      </c>
      <c r="P71" s="81">
        <f t="shared" ref="P71:P74" si="36">E71+F71+H71</f>
        <v>2464.5</v>
      </c>
      <c r="Q71" s="82">
        <f t="shared" ref="Q71:Q72" si="37">G71+J71+K71</f>
        <v>2758.63</v>
      </c>
      <c r="R71" s="83">
        <f t="shared" ref="R71:R72" si="38">I71</f>
        <v>1312.83</v>
      </c>
      <c r="S71" s="6"/>
    </row>
    <row r="72" spans="1:20" ht="15" customHeight="1" x14ac:dyDescent="0.25">
      <c r="A72" s="159" t="s">
        <v>109</v>
      </c>
      <c r="B72" s="160"/>
      <c r="C72" s="9"/>
      <c r="D72" s="11"/>
      <c r="E72" s="103">
        <v>500.93</v>
      </c>
      <c r="F72" s="103">
        <v>520.12</v>
      </c>
      <c r="G72" s="11">
        <v>641.13</v>
      </c>
      <c r="H72" s="11">
        <v>451.04</v>
      </c>
      <c r="I72" s="11">
        <v>643.19000000000005</v>
      </c>
      <c r="J72" s="11">
        <v>641.13</v>
      </c>
      <c r="K72" s="11">
        <v>62.23</v>
      </c>
      <c r="L72" s="20"/>
      <c r="M72" s="47"/>
      <c r="P72" s="81">
        <f t="shared" si="36"/>
        <v>1472.09</v>
      </c>
      <c r="Q72" s="82">
        <f t="shared" si="37"/>
        <v>1344.49</v>
      </c>
      <c r="R72" s="83">
        <f t="shared" si="38"/>
        <v>643.19000000000005</v>
      </c>
      <c r="S72" s="6">
        <f>F71+F72</f>
        <v>1347.28</v>
      </c>
      <c r="T72" s="6"/>
    </row>
    <row r="73" spans="1:20" s="31" customFormat="1" ht="15" customHeight="1" x14ac:dyDescent="0.25">
      <c r="A73" s="147" t="s">
        <v>110</v>
      </c>
      <c r="B73" s="147"/>
      <c r="C73" s="7" t="s">
        <v>111</v>
      </c>
      <c r="D73" s="8">
        <f t="shared" ref="D73:M73" si="39">SUM(D70,D71)</f>
        <v>15895.75</v>
      </c>
      <c r="E73" s="8">
        <f>SUM(E70,E71)</f>
        <v>18828.77</v>
      </c>
      <c r="F73" s="8">
        <f t="shared" si="39"/>
        <v>20113.850000000002</v>
      </c>
      <c r="G73" s="92">
        <f t="shared" si="39"/>
        <v>30276.09</v>
      </c>
      <c r="H73" s="92">
        <f t="shared" si="39"/>
        <v>20443.12</v>
      </c>
      <c r="I73" s="92">
        <f t="shared" si="39"/>
        <v>30807.120000000003</v>
      </c>
      <c r="J73" s="92">
        <f t="shared" si="39"/>
        <v>35120.21</v>
      </c>
      <c r="K73" s="92">
        <f t="shared" si="39"/>
        <v>11897.160000000002</v>
      </c>
      <c r="L73" s="21">
        <f t="shared" si="39"/>
        <v>183382.06999999998</v>
      </c>
      <c r="M73" s="56">
        <f t="shared" si="39"/>
        <v>167486.31999999998</v>
      </c>
      <c r="P73" s="81"/>
      <c r="Q73" s="87"/>
      <c r="R73" s="87"/>
      <c r="S73" s="32"/>
    </row>
    <row r="74" spans="1:20" ht="15" customHeight="1" x14ac:dyDescent="0.25">
      <c r="A74" s="147" t="s">
        <v>112</v>
      </c>
      <c r="B74" s="147"/>
      <c r="C74" s="7" t="s">
        <v>113</v>
      </c>
      <c r="D74" s="8">
        <v>8761.9</v>
      </c>
      <c r="E74" s="92">
        <v>13699.01</v>
      </c>
      <c r="F74" s="92">
        <v>13883.45</v>
      </c>
      <c r="G74" s="92">
        <v>21082.799999999999</v>
      </c>
      <c r="H74" s="92">
        <v>13773.26</v>
      </c>
      <c r="I74" s="92">
        <f>21277.89+4.46</f>
        <v>21282.35</v>
      </c>
      <c r="J74" s="92">
        <v>24014.48</v>
      </c>
      <c r="K74" s="92">
        <v>7619.09</v>
      </c>
      <c r="L74" s="60">
        <f>SUM(D74:K74)</f>
        <v>124116.33999999998</v>
      </c>
      <c r="M74" s="61">
        <f>SUM(E74:K74)</f>
        <v>115354.43999999999</v>
      </c>
      <c r="O74" s="6"/>
      <c r="P74" s="81">
        <f t="shared" si="36"/>
        <v>41355.72</v>
      </c>
      <c r="Q74" s="91">
        <f>G74+J74+K74</f>
        <v>52716.369999999995</v>
      </c>
      <c r="R74" s="91">
        <f>I74</f>
        <v>21282.35</v>
      </c>
      <c r="T74" s="6"/>
    </row>
    <row r="75" spans="1:20" ht="31.5" customHeight="1" x14ac:dyDescent="0.25">
      <c r="A75" s="147" t="s">
        <v>114</v>
      </c>
      <c r="B75" s="147"/>
      <c r="C75" s="7" t="s">
        <v>115</v>
      </c>
      <c r="D75" s="8">
        <v>9537.65</v>
      </c>
      <c r="E75" s="92">
        <f>E74+E71</f>
        <v>14506.210000000001</v>
      </c>
      <c r="F75" s="92">
        <f t="shared" ref="F75:M75" si="40">F74+F71</f>
        <v>14710.61</v>
      </c>
      <c r="G75" s="92">
        <f t="shared" si="40"/>
        <v>22180.53</v>
      </c>
      <c r="H75" s="92">
        <f t="shared" si="40"/>
        <v>14603.4</v>
      </c>
      <c r="I75" s="92">
        <f t="shared" si="40"/>
        <v>22595.18</v>
      </c>
      <c r="J75" s="92">
        <f t="shared" si="40"/>
        <v>25288.19</v>
      </c>
      <c r="K75" s="92">
        <f t="shared" si="40"/>
        <v>8006.28</v>
      </c>
      <c r="L75" s="21">
        <f t="shared" si="40"/>
        <v>131426.04999999999</v>
      </c>
      <c r="M75" s="56">
        <f t="shared" si="40"/>
        <v>121890.4</v>
      </c>
      <c r="Q75" s="81"/>
    </row>
    <row r="76" spans="1:20" ht="15" customHeight="1" x14ac:dyDescent="0.25">
      <c r="A76" s="147" t="s">
        <v>116</v>
      </c>
      <c r="B76" s="147"/>
      <c r="C76" s="7" t="s">
        <v>117</v>
      </c>
      <c r="D76" s="8">
        <v>6359.65</v>
      </c>
      <c r="E76" s="92">
        <v>4322.5600000000004</v>
      </c>
      <c r="F76" s="92">
        <v>5403.24</v>
      </c>
      <c r="G76" s="92">
        <v>8095.56</v>
      </c>
      <c r="H76" s="92">
        <v>5839.72</v>
      </c>
      <c r="I76" s="92">
        <v>8211.94</v>
      </c>
      <c r="J76" s="92">
        <v>9832.02</v>
      </c>
      <c r="K76" s="95">
        <v>3890.88</v>
      </c>
      <c r="L76" s="60">
        <f>SUM(D76:K76)</f>
        <v>51955.57</v>
      </c>
      <c r="M76" s="61">
        <f>SUM(E76:K76)</f>
        <v>45595.920000000006</v>
      </c>
      <c r="P76" s="81">
        <f t="shared" ref="P76:P77" si="41">E76+F76+H76</f>
        <v>15565.52</v>
      </c>
    </row>
    <row r="77" spans="1:20" ht="15" customHeight="1" x14ac:dyDescent="0.25">
      <c r="A77" s="148" t="s">
        <v>118</v>
      </c>
      <c r="B77" s="148"/>
      <c r="C77" s="9" t="s">
        <v>119</v>
      </c>
      <c r="D77" s="67">
        <v>4777.3</v>
      </c>
      <c r="E77" s="90">
        <v>7935</v>
      </c>
      <c r="F77" s="90">
        <v>8120</v>
      </c>
      <c r="G77" s="90">
        <v>10726</v>
      </c>
      <c r="H77" s="90">
        <v>7965</v>
      </c>
      <c r="I77" s="90">
        <v>13124.46</v>
      </c>
      <c r="J77" s="90">
        <v>12200</v>
      </c>
      <c r="K77" s="11">
        <v>4774</v>
      </c>
      <c r="L77" s="62">
        <f>SUM(D77:K77)</f>
        <v>69621.760000000009</v>
      </c>
      <c r="M77" s="63">
        <f>SUM(E77:K77)</f>
        <v>64844.46</v>
      </c>
      <c r="P77" s="81">
        <f t="shared" si="41"/>
        <v>24020</v>
      </c>
      <c r="Q77" s="82">
        <f t="shared" ref="Q77" si="42">G77+J77+K77</f>
        <v>27700</v>
      </c>
      <c r="R77" s="83">
        <f t="shared" ref="R77" si="43">I77</f>
        <v>13124.46</v>
      </c>
    </row>
    <row r="78" spans="1:20" s="31" customFormat="1" ht="15" customHeight="1" x14ac:dyDescent="0.25">
      <c r="A78" s="147" t="s">
        <v>120</v>
      </c>
      <c r="B78" s="147"/>
      <c r="C78" s="7"/>
      <c r="D78" s="68">
        <f t="shared" ref="D78:M78" si="44">D33/D74</f>
        <v>1.0426950775516726</v>
      </c>
      <c r="E78" s="68">
        <f t="shared" si="44"/>
        <v>0.6900440250791845</v>
      </c>
      <c r="F78" s="68">
        <f t="shared" si="44"/>
        <v>0.68690131055321269</v>
      </c>
      <c r="G78" s="68">
        <f t="shared" si="44"/>
        <v>0.67998795226440512</v>
      </c>
      <c r="H78" s="68">
        <f t="shared" si="44"/>
        <v>0.685343920030552</v>
      </c>
      <c r="I78" s="68">
        <f t="shared" si="44"/>
        <v>0.70173218653015301</v>
      </c>
      <c r="J78" s="68">
        <f t="shared" si="44"/>
        <v>0.67970740986271616</v>
      </c>
      <c r="K78" s="68">
        <f t="shared" si="44"/>
        <v>0.67085833085053459</v>
      </c>
      <c r="L78" s="64">
        <f t="shared" si="44"/>
        <v>0.71118436138223229</v>
      </c>
      <c r="M78" s="48">
        <f t="shared" si="44"/>
        <v>0.68600402377229686</v>
      </c>
      <c r="P78" s="87"/>
      <c r="Q78" s="87"/>
      <c r="R78" s="87"/>
    </row>
    <row r="79" spans="1:20" s="31" customFormat="1" ht="15" customHeight="1" x14ac:dyDescent="0.25">
      <c r="A79" s="147" t="s">
        <v>121</v>
      </c>
      <c r="B79" s="147"/>
      <c r="C79" s="7"/>
      <c r="D79" s="68">
        <f t="shared" ref="D79:M79" si="45">D33/D75</f>
        <v>0.95788690086132333</v>
      </c>
      <c r="E79" s="68">
        <f t="shared" si="45"/>
        <v>0.65164643280360612</v>
      </c>
      <c r="F79" s="68">
        <f t="shared" si="45"/>
        <v>0.64827767169410389</v>
      </c>
      <c r="G79" s="68">
        <f t="shared" si="45"/>
        <v>0.64633487116854282</v>
      </c>
      <c r="H79" s="68">
        <f t="shared" si="45"/>
        <v>0.64638508840407027</v>
      </c>
      <c r="I79" s="68">
        <f t="shared" si="45"/>
        <v>0.66095999235235126</v>
      </c>
      <c r="J79" s="68">
        <f t="shared" si="45"/>
        <v>0.645472056323525</v>
      </c>
      <c r="K79" s="68">
        <f t="shared" si="45"/>
        <v>0.63841509415109143</v>
      </c>
      <c r="L79" s="64">
        <f t="shared" si="45"/>
        <v>0.67162940680329364</v>
      </c>
      <c r="M79" s="48">
        <f t="shared" si="45"/>
        <v>0.64921938068953744</v>
      </c>
      <c r="P79" s="87"/>
      <c r="Q79" s="87"/>
      <c r="R79" s="87"/>
    </row>
    <row r="80" spans="1:20" s="31" customFormat="1" ht="15" customHeight="1" x14ac:dyDescent="0.25">
      <c r="A80" s="147" t="s">
        <v>122</v>
      </c>
      <c r="B80" s="147"/>
      <c r="C80" s="7"/>
      <c r="D80" s="68">
        <f t="shared" ref="D80:M80" si="46">D33/D70</f>
        <v>0.60415222854119821</v>
      </c>
      <c r="E80" s="68">
        <f t="shared" si="46"/>
        <v>0.52453365605771307</v>
      </c>
      <c r="F80" s="68">
        <f t="shared" si="46"/>
        <v>0.49446328011701335</v>
      </c>
      <c r="G80" s="68">
        <f t="shared" si="46"/>
        <v>0.49132473518045561</v>
      </c>
      <c r="H80" s="68">
        <f t="shared" si="46"/>
        <v>0.48128433313040653</v>
      </c>
      <c r="I80" s="68">
        <f t="shared" si="46"/>
        <v>0.50635258553435258</v>
      </c>
      <c r="J80" s="68">
        <f t="shared" si="46"/>
        <v>0.48226020415700294</v>
      </c>
      <c r="K80" s="68">
        <f t="shared" si="46"/>
        <v>0.44407848152514728</v>
      </c>
      <c r="L80" s="64">
        <f t="shared" si="46"/>
        <v>0.50132570495448581</v>
      </c>
      <c r="M80" s="48">
        <f t="shared" si="46"/>
        <v>0.4916646971153093</v>
      </c>
      <c r="P80" s="87"/>
      <c r="Q80" s="87"/>
      <c r="R80" s="87"/>
    </row>
    <row r="81" spans="1:18" s="31" customFormat="1" ht="15" customHeight="1" x14ac:dyDescent="0.25">
      <c r="A81" s="147" t="s">
        <v>123</v>
      </c>
      <c r="B81" s="147"/>
      <c r="C81" s="7"/>
      <c r="D81" s="68">
        <f t="shared" ref="D81:M81" si="47">D33/D73</f>
        <v>0.57474419263010557</v>
      </c>
      <c r="E81" s="68">
        <f t="shared" si="47"/>
        <v>0.50204660208818741</v>
      </c>
      <c r="F81" s="68">
        <f t="shared" si="47"/>
        <v>0.4741290205505162</v>
      </c>
      <c r="G81" s="68">
        <f t="shared" si="47"/>
        <v>0.47351061514217985</v>
      </c>
      <c r="H81" s="68">
        <f t="shared" si="47"/>
        <v>0.4617406736349442</v>
      </c>
      <c r="I81" s="68">
        <f t="shared" si="47"/>
        <v>0.48477462352858686</v>
      </c>
      <c r="J81" s="68">
        <f t="shared" si="47"/>
        <v>0.46476999995159485</v>
      </c>
      <c r="K81" s="68">
        <f t="shared" si="47"/>
        <v>0.42962606201816222</v>
      </c>
      <c r="L81" s="64">
        <f t="shared" si="47"/>
        <v>0.48134258709152983</v>
      </c>
      <c r="M81" s="48">
        <f t="shared" si="47"/>
        <v>0.47247805074468169</v>
      </c>
      <c r="P81" s="87"/>
      <c r="Q81" s="87"/>
      <c r="R81" s="87"/>
    </row>
    <row r="82" spans="1:18" s="31" customFormat="1" ht="15" customHeight="1" x14ac:dyDescent="0.25">
      <c r="A82" s="147" t="s">
        <v>124</v>
      </c>
      <c r="B82" s="147"/>
      <c r="C82" s="7"/>
      <c r="D82" s="68">
        <f t="shared" ref="D82:M82" si="48">D76/D48</f>
        <v>59.435981308411215</v>
      </c>
      <c r="E82" s="68">
        <f t="shared" si="48"/>
        <v>31.551532846715332</v>
      </c>
      <c r="F82" s="68">
        <f t="shared" si="48"/>
        <v>27.9960621761658</v>
      </c>
      <c r="G82" s="68">
        <f t="shared" si="48"/>
        <v>32.775546558704455</v>
      </c>
      <c r="H82" s="68">
        <f t="shared" si="48"/>
        <v>35.392242424242426</v>
      </c>
      <c r="I82" s="68">
        <f t="shared" si="48"/>
        <v>30.190955882352942</v>
      </c>
      <c r="J82" s="68">
        <f t="shared" si="48"/>
        <v>34.74212014134276</v>
      </c>
      <c r="K82" s="68">
        <f t="shared" si="48"/>
        <v>42.75692307692308</v>
      </c>
      <c r="L82" s="64">
        <f t="shared" si="48"/>
        <v>34.752889632107021</v>
      </c>
      <c r="M82" s="48">
        <f t="shared" si="48"/>
        <v>32.850086455331414</v>
      </c>
      <c r="P82" s="87"/>
      <c r="Q82" s="87"/>
      <c r="R82" s="87"/>
    </row>
    <row r="83" spans="1:18" s="31" customFormat="1" ht="15" customHeight="1" x14ac:dyDescent="0.25">
      <c r="A83" s="147" t="s">
        <v>125</v>
      </c>
      <c r="B83" s="147"/>
      <c r="C83" s="7"/>
      <c r="D83" s="68">
        <f t="shared" ref="D83:M83" si="49">D33/D6</f>
        <v>1.35348</v>
      </c>
      <c r="E83" s="68">
        <f t="shared" si="49"/>
        <v>3.3796639256346084</v>
      </c>
      <c r="F83" s="68">
        <f t="shared" si="49"/>
        <v>3.5544390607528888</v>
      </c>
      <c r="G83" s="68">
        <f t="shared" si="49"/>
        <v>2.7374546496085546</v>
      </c>
      <c r="H83" s="68">
        <f t="shared" si="49"/>
        <v>2.8981946576604236</v>
      </c>
      <c r="I83" s="68">
        <f t="shared" si="49"/>
        <v>2.7733537604456826</v>
      </c>
      <c r="J83" s="68">
        <f t="shared" si="49"/>
        <v>2.2680033347228012</v>
      </c>
      <c r="K83" s="68">
        <f t="shared" si="49"/>
        <v>2.1503281447202354</v>
      </c>
      <c r="L83" s="64">
        <f t="shared" si="49"/>
        <v>3.0508277745135315</v>
      </c>
      <c r="M83" s="48">
        <f t="shared" si="49"/>
        <v>2.7350641136418616</v>
      </c>
      <c r="P83" s="87"/>
      <c r="Q83" s="87"/>
      <c r="R83" s="87"/>
    </row>
    <row r="84" spans="1:18" s="31" customFormat="1" ht="15" customHeight="1" x14ac:dyDescent="0.25">
      <c r="A84" s="147" t="s">
        <v>126</v>
      </c>
      <c r="B84" s="147"/>
      <c r="C84" s="7"/>
      <c r="D84" s="68">
        <f t="shared" ref="D84:M84" si="50">D33/D63</f>
        <v>4567.9949999999999</v>
      </c>
      <c r="E84" s="68">
        <f t="shared" si="50"/>
        <v>9452.92</v>
      </c>
      <c r="F84" s="68">
        <f t="shared" si="50"/>
        <v>9536.5600000000013</v>
      </c>
      <c r="G84" s="68">
        <f t="shared" si="50"/>
        <v>7168.0249999999996</v>
      </c>
      <c r="H84" s="68">
        <f t="shared" si="50"/>
        <v>9439.42</v>
      </c>
      <c r="I84" s="68">
        <f t="shared" si="50"/>
        <v>7467.2550000000001</v>
      </c>
      <c r="J84" s="68">
        <f t="shared" si="50"/>
        <v>8161.41</v>
      </c>
      <c r="K84" s="68">
        <f t="shared" si="50"/>
        <v>5111.33</v>
      </c>
      <c r="L84" s="64">
        <f t="shared" si="50"/>
        <v>7355.8</v>
      </c>
      <c r="M84" s="48">
        <f t="shared" si="50"/>
        <v>7913.360999999999</v>
      </c>
      <c r="P84" s="87"/>
      <c r="Q84" s="87"/>
      <c r="R84" s="87"/>
    </row>
    <row r="85" spans="1:18" s="31" customFormat="1" ht="15" customHeight="1" x14ac:dyDescent="0.25">
      <c r="A85" s="147" t="s">
        <v>124</v>
      </c>
      <c r="B85" s="147"/>
      <c r="C85" s="7"/>
      <c r="D85" s="68">
        <f t="shared" ref="D85:M85" si="51">D76/D48</f>
        <v>59.435981308411215</v>
      </c>
      <c r="E85" s="68">
        <f t="shared" si="51"/>
        <v>31.551532846715332</v>
      </c>
      <c r="F85" s="68">
        <f t="shared" si="51"/>
        <v>27.9960621761658</v>
      </c>
      <c r="G85" s="68">
        <f t="shared" si="51"/>
        <v>32.775546558704455</v>
      </c>
      <c r="H85" s="68">
        <f t="shared" si="51"/>
        <v>35.392242424242426</v>
      </c>
      <c r="I85" s="68">
        <f t="shared" si="51"/>
        <v>30.190955882352942</v>
      </c>
      <c r="J85" s="68">
        <f t="shared" si="51"/>
        <v>34.74212014134276</v>
      </c>
      <c r="K85" s="68">
        <f t="shared" si="51"/>
        <v>42.75692307692308</v>
      </c>
      <c r="L85" s="64">
        <f t="shared" si="51"/>
        <v>34.752889632107021</v>
      </c>
      <c r="M85" s="48">
        <f t="shared" si="51"/>
        <v>32.850086455331414</v>
      </c>
      <c r="P85" s="87"/>
      <c r="Q85" s="87"/>
      <c r="R85" s="87"/>
    </row>
    <row r="86" spans="1:18" s="31" customFormat="1" ht="15" customHeight="1" x14ac:dyDescent="0.25">
      <c r="A86" s="147" t="s">
        <v>127</v>
      </c>
      <c r="B86" s="147"/>
      <c r="C86" s="7"/>
      <c r="D86" s="68">
        <f t="shared" ref="D86:M86" si="52">D35/D69</f>
        <v>27</v>
      </c>
      <c r="E86" s="68">
        <f t="shared" si="52"/>
        <v>84</v>
      </c>
      <c r="F86" s="68">
        <f t="shared" si="52"/>
        <v>88</v>
      </c>
      <c r="G86" s="68">
        <f t="shared" si="52"/>
        <v>68.25</v>
      </c>
      <c r="H86" s="68">
        <f t="shared" si="52"/>
        <v>86.5</v>
      </c>
      <c r="I86" s="68">
        <f t="shared" si="52"/>
        <v>71.75</v>
      </c>
      <c r="J86" s="68">
        <f t="shared" si="52"/>
        <v>78.25</v>
      </c>
      <c r="K86" s="68">
        <f t="shared" si="52"/>
        <v>50.5</v>
      </c>
      <c r="L86" s="64">
        <f t="shared" si="52"/>
        <v>66.625</v>
      </c>
      <c r="M86" s="48">
        <f t="shared" si="52"/>
        <v>74.55</v>
      </c>
      <c r="P86" s="87"/>
      <c r="Q86" s="87"/>
      <c r="R86" s="87"/>
    </row>
    <row r="87" spans="1:18" s="31" customFormat="1" ht="15" customHeight="1" x14ac:dyDescent="0.25">
      <c r="A87" s="147" t="s">
        <v>128</v>
      </c>
      <c r="B87" s="147"/>
      <c r="C87" s="7"/>
      <c r="D87" s="68">
        <f t="shared" ref="D87:M87" si="53">D70/D76</f>
        <v>2.3778038099580954</v>
      </c>
      <c r="E87" s="68">
        <f t="shared" si="53"/>
        <v>4.1691890916493923</v>
      </c>
      <c r="F87" s="68">
        <f t="shared" si="53"/>
        <v>3.5694675787120325</v>
      </c>
      <c r="G87" s="68">
        <f t="shared" si="53"/>
        <v>3.6042423254228244</v>
      </c>
      <c r="H87" s="68">
        <f t="shared" si="53"/>
        <v>3.358548012575945</v>
      </c>
      <c r="I87" s="68">
        <f t="shared" si="53"/>
        <v>3.5916348633818562</v>
      </c>
      <c r="J87" s="68">
        <f t="shared" si="53"/>
        <v>3.4424767240099183</v>
      </c>
      <c r="K87" s="68">
        <f t="shared" si="53"/>
        <v>2.9581919771362779</v>
      </c>
      <c r="L87" s="64">
        <f t="shared" si="53"/>
        <v>3.3889024795609015</v>
      </c>
      <c r="M87" s="48">
        <f t="shared" si="53"/>
        <v>3.5299289936467995</v>
      </c>
      <c r="P87" s="87"/>
      <c r="Q87" s="87"/>
      <c r="R87" s="87"/>
    </row>
    <row r="88" spans="1:18" s="31" customFormat="1" ht="15" customHeight="1" x14ac:dyDescent="0.25">
      <c r="A88" s="147" t="s">
        <v>129</v>
      </c>
      <c r="B88" s="147"/>
      <c r="C88" s="7"/>
      <c r="D88" s="68">
        <f t="shared" ref="D88:M88" si="54">D35/D63</f>
        <v>54</v>
      </c>
      <c r="E88" s="68">
        <f t="shared" si="54"/>
        <v>168</v>
      </c>
      <c r="F88" s="68">
        <f t="shared" si="54"/>
        <v>176</v>
      </c>
      <c r="G88" s="68">
        <f t="shared" si="54"/>
        <v>136.5</v>
      </c>
      <c r="H88" s="68">
        <f t="shared" si="54"/>
        <v>173</v>
      </c>
      <c r="I88" s="68">
        <f t="shared" si="54"/>
        <v>143.5</v>
      </c>
      <c r="J88" s="68">
        <f t="shared" si="54"/>
        <v>156.5</v>
      </c>
      <c r="K88" s="68">
        <f t="shared" si="54"/>
        <v>101</v>
      </c>
      <c r="L88" s="64">
        <f t="shared" si="54"/>
        <v>133.25</v>
      </c>
      <c r="M88" s="48">
        <f t="shared" si="54"/>
        <v>149.1</v>
      </c>
      <c r="P88" s="87"/>
      <c r="Q88" s="87"/>
      <c r="R88" s="87"/>
    </row>
    <row r="89" spans="1:18" s="31" customFormat="1" ht="14.25" customHeight="1" x14ac:dyDescent="0.25">
      <c r="A89" s="155" t="s">
        <v>130</v>
      </c>
      <c r="B89" s="155"/>
      <c r="C89" s="69"/>
      <c r="D89" s="70">
        <f t="shared" ref="D89:M89" si="55">D77/D33</f>
        <v>0.52290994188916584</v>
      </c>
      <c r="E89" s="70">
        <f t="shared" si="55"/>
        <v>0.83942316236676073</v>
      </c>
      <c r="F89" s="70">
        <f t="shared" si="55"/>
        <v>0.85146006526462359</v>
      </c>
      <c r="G89" s="70">
        <f t="shared" si="55"/>
        <v>0.74818377447065265</v>
      </c>
      <c r="H89" s="70">
        <f t="shared" si="55"/>
        <v>0.84380184375734946</v>
      </c>
      <c r="I89" s="70">
        <f t="shared" si="55"/>
        <v>0.87880084448703033</v>
      </c>
      <c r="J89" s="70">
        <f t="shared" si="55"/>
        <v>0.74741986985092035</v>
      </c>
      <c r="K89" s="70">
        <f t="shared" si="55"/>
        <v>0.93400347854667964</v>
      </c>
      <c r="L89" s="65">
        <f t="shared" si="55"/>
        <v>0.78873995124029117</v>
      </c>
      <c r="M89" s="66">
        <f t="shared" si="55"/>
        <v>0.81943007528659451</v>
      </c>
      <c r="P89" s="87"/>
      <c r="Q89" s="87"/>
      <c r="R89" s="87"/>
    </row>
  </sheetData>
  <mergeCells count="92">
    <mergeCell ref="A29:A31"/>
    <mergeCell ref="A14:B14"/>
    <mergeCell ref="A85:B85"/>
    <mergeCell ref="A86:B86"/>
    <mergeCell ref="A87:B87"/>
    <mergeCell ref="A69:B69"/>
    <mergeCell ref="A70:B70"/>
    <mergeCell ref="A71:B71"/>
    <mergeCell ref="A73:B73"/>
    <mergeCell ref="A74:B74"/>
    <mergeCell ref="A72:B72"/>
    <mergeCell ref="A66:B66"/>
    <mergeCell ref="A62:B62"/>
    <mergeCell ref="A63:B63"/>
    <mergeCell ref="A64:B64"/>
    <mergeCell ref="A52:B52"/>
    <mergeCell ref="A75:B75"/>
    <mergeCell ref="A76:B76"/>
    <mergeCell ref="A77:B77"/>
    <mergeCell ref="A78:B78"/>
    <mergeCell ref="A79:B79"/>
    <mergeCell ref="A89:B89"/>
    <mergeCell ref="A80:B80"/>
    <mergeCell ref="A81:B81"/>
    <mergeCell ref="A82:B82"/>
    <mergeCell ref="A83:B83"/>
    <mergeCell ref="A84:B84"/>
    <mergeCell ref="A88:B88"/>
    <mergeCell ref="L66:M66"/>
    <mergeCell ref="A67:B67"/>
    <mergeCell ref="L67:M67"/>
    <mergeCell ref="A68:B68"/>
    <mergeCell ref="L68:M68"/>
    <mergeCell ref="L64:M64"/>
    <mergeCell ref="A65:B65"/>
    <mergeCell ref="L65:M65"/>
    <mergeCell ref="A57:B57"/>
    <mergeCell ref="A58:B58"/>
    <mergeCell ref="A59:B59"/>
    <mergeCell ref="A60:B60"/>
    <mergeCell ref="A61:B61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D43:M43"/>
    <mergeCell ref="A44:B44"/>
    <mergeCell ref="A45:B45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8:B28"/>
    <mergeCell ref="A22:B22"/>
    <mergeCell ref="A23:B23"/>
    <mergeCell ref="A24:B24"/>
    <mergeCell ref="A25:B25"/>
    <mergeCell ref="A26:B26"/>
    <mergeCell ref="A18:B18"/>
    <mergeCell ref="A17:B17"/>
    <mergeCell ref="L26:L27"/>
    <mergeCell ref="M26:M27"/>
    <mergeCell ref="A27:B27"/>
    <mergeCell ref="A46:B46"/>
    <mergeCell ref="A3:M3"/>
    <mergeCell ref="A6:B6"/>
    <mergeCell ref="A7:B7"/>
    <mergeCell ref="A8:B8"/>
    <mergeCell ref="A4:B5"/>
    <mergeCell ref="A9:B9"/>
    <mergeCell ref="A10:B10"/>
    <mergeCell ref="A11:B11"/>
    <mergeCell ref="A12:B12"/>
    <mergeCell ref="A13:B13"/>
    <mergeCell ref="A15:B15"/>
    <mergeCell ref="A16:B16"/>
    <mergeCell ref="A19:B19"/>
    <mergeCell ref="A20:B20"/>
    <mergeCell ref="A21:B21"/>
  </mergeCells>
  <pageMargins left="0.70833333333333304" right="0.70833333333333304" top="0.74791666666666701" bottom="0.74791666666666701" header="0.511811023622047" footer="0.511811023622047"/>
  <pageSetup paperSize="9" fitToHeight="0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7e06-149a-4a80-a6c6-50be735257f6">
      <Terms xmlns="http://schemas.microsoft.com/office/infopath/2007/PartnerControls"/>
    </lcf76f155ced4ddcb4097134ff3c332f>
    <TaxCatchAll xmlns="69e759d5-38ad-4e55-af20-1c579130c0ae" xsi:nil="true"/>
    <_Flow_SignoffStatus xmlns="b9047e06-149a-4a80-a6c6-50be735257f6" xsi:nil="true"/>
    <Status xmlns="b9047e06-149a-4a80-a6c6-50be735257f6" xsi:nil="true"/>
    <_ApprovalAssignedTo xmlns="b9047e06-149a-4a80-a6c6-50be735257f6">
      <UserInfo>
        <DisplayName/>
        <AccountId xsi:nil="true"/>
        <AccountType/>
      </UserInfo>
    </_ApprovalAssignedTo>
    <_ApprovalRespondedBy xmlns="b9047e06-149a-4a80-a6c6-50be735257f6">
      <UserInfo>
        <DisplayName/>
        <AccountId xsi:nil="true"/>
        <AccountType/>
      </UserInfo>
    </_ApprovalRespondedBy>
    <_ApprovalStatus xmlns="b9047e06-149a-4a80-a6c6-50be735257f6">0</_ApprovalStatus>
    <_ApprovalSentBy xmlns="b9047e06-149a-4a80-a6c6-50be735257f6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5BBB5DD110094FBE550F76203AE467" ma:contentTypeVersion="19" ma:contentTypeDescription="Utwórz nowy dokument." ma:contentTypeScope="" ma:versionID="cb4c4a3b15e91d2b5783bcb852db9650">
  <xsd:schema xmlns:xsd="http://www.w3.org/2001/XMLSchema" xmlns:xs="http://www.w3.org/2001/XMLSchema" xmlns:p="http://schemas.microsoft.com/office/2006/metadata/properties" xmlns:ns2="b9047e06-149a-4a80-a6c6-50be735257f6" xmlns:ns3="69e759d5-38ad-4e55-af20-1c579130c0ae" targetNamespace="http://schemas.microsoft.com/office/2006/metadata/properties" ma:root="true" ma:fieldsID="5289b9831447208766524ea0105193de" ns2:_="" ns3:_="">
    <xsd:import namespace="b9047e06-149a-4a80-a6c6-50be735257f6"/>
    <xsd:import namespace="69e759d5-38ad-4e55-af20-1c579130c0a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7e06-149a-4a80-a6c6-50be735257f6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format="Dropdown" ma:internalName="Statu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RECEIVED"/>
                    <xsd:enumeration value="WIP"/>
                    <xsd:enumeration value="INTERNAL REVIEW"/>
                    <xsd:enumeration value="REQUIRED CORRECION"/>
                    <xsd:enumeration value="INTERNALLY APPROVED"/>
                    <xsd:enumeration value="SHARED FOR INFORMATION"/>
                    <xsd:enumeration value="SHARED FOR COORDINATION"/>
                    <xsd:enumeration value="PUBLISHED"/>
                    <xsd:enumeration value="ARCHIVE"/>
                  </xsd:restriction>
                </xsd:simpleType>
              </xsd:element>
            </xsd:sequence>
          </xsd:extension>
        </xsd:complexContent>
      </xsd:complexType>
    </xsd:element>
    <xsd:element name="_ApprovalAssignedTo" ma:index="9" nillable="true" ma:displayName="Osoby zatwierdzając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0" nillable="true" ma:displayName="Odpowiedzi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1" nillable="true" ma:displayName="Twórca zatwierdzenia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2" nillable="true" ma:displayName="Stan zatwierdzenia" ma:internalName="_ApprovalStatus" ma:readOnly="true">
      <xsd:simpleType>
        <xsd:restriction base="dms:Unknown"/>
      </xsd:simpleType>
    </xsd:element>
    <xsd:element name="_Flow_SignoffStatus" ma:index="13" nillable="true" ma:displayName="Stan zatwierdzenia" ma:internalName="_x0024_Resources_x003a_core_x002c_Signoff_Status">
      <xsd:simpleType>
        <xsd:restriction base="dms:Text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b91e159a-1289-43d7-8573-8061a23aed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759d5-38ad-4e55-af20-1c579130c0a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69e924b-c4b7-4a87-88d6-c59eda8c5a6e}" ma:internalName="TaxCatchAll" ma:showField="CatchAllData" ma:web="69e759d5-38ad-4e55-af20-1c579130c0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5C113F-428D-4738-B1C3-D9C5269220D3}">
  <ds:schemaRefs>
    <ds:schemaRef ds:uri="http://schemas.microsoft.com/office/2006/metadata/properties"/>
    <ds:schemaRef ds:uri="http://schemas.microsoft.com/office/infopath/2007/PartnerControls"/>
    <ds:schemaRef ds:uri="b9047e06-149a-4a80-a6c6-50be735257f6"/>
    <ds:schemaRef ds:uri="69e759d5-38ad-4e55-af20-1c579130c0ae"/>
  </ds:schemaRefs>
</ds:datastoreItem>
</file>

<file path=customXml/itemProps2.xml><?xml version="1.0" encoding="utf-8"?>
<ds:datastoreItem xmlns:ds="http://schemas.openxmlformats.org/officeDocument/2006/customXml" ds:itemID="{D06F65D2-E398-4C00-97B1-08B9BD534C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83F8DB-6EA2-4388-9840-0A47301AE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7e06-149a-4a80-a6c6-50be735257f6"/>
    <ds:schemaRef ds:uri="69e759d5-38ad-4e55-af20-1c579130c0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zestawienie(proj)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Dorota Wnorowska</dc:creator>
  <cp:keywords/>
  <dc:description/>
  <cp:lastModifiedBy>Julia Łukaszewicz</cp:lastModifiedBy>
  <cp:revision>2</cp:revision>
  <dcterms:created xsi:type="dcterms:W3CDTF">2022-09-09T11:27:41Z</dcterms:created>
  <dcterms:modified xsi:type="dcterms:W3CDTF">2026-09-24T10:53:40Z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0x010100365BBB5DD110094FBE550F76203AE467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