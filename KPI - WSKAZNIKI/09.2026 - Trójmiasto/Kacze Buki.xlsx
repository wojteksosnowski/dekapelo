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iapl-my.sharepoint.com/personal/jlukaszewicz_develia_pl/Documents/Pulpit/Parametry dla APK i WPK/W projektowaniu/"/>
    </mc:Choice>
  </mc:AlternateContent>
  <xr:revisionPtr revIDLastSave="11" documentId="13_ncr:1_{2FEF186F-6CD3-43F3-AE38-33B61AE2507D}" xr6:coauthVersionLast="47" xr6:coauthVersionMax="47" xr10:uidLastSave="{9B4DCA61-5230-4118-B8D7-9F7DA03C5FB7}"/>
  <bookViews>
    <workbookView xWindow="-120" yWindow="-120" windowWidth="29040" windowHeight="15720" xr2:uid="{0BB37007-DD19-48DD-8A88-2A2DC320A156}"/>
  </bookViews>
  <sheets>
    <sheet name="Arkusz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2" l="1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48" i="2"/>
  <c r="D48" i="2"/>
  <c r="E46" i="2"/>
  <c r="D46" i="2"/>
  <c r="E30" i="2"/>
  <c r="D30" i="2"/>
  <c r="E23" i="2"/>
  <c r="D23" i="2"/>
  <c r="E18" i="2"/>
  <c r="D18" i="2"/>
  <c r="E15" i="2"/>
  <c r="D15" i="2"/>
  <c r="E14" i="2"/>
  <c r="D14" i="2"/>
  <c r="E6" i="2"/>
  <c r="E44" i="2" l="1"/>
  <c r="E45" i="2"/>
  <c r="D35" i="2"/>
  <c r="E50" i="2"/>
  <c r="O55" i="2"/>
  <c r="O53" i="2"/>
  <c r="O52" i="2"/>
  <c r="E47" i="2"/>
  <c r="D49" i="2"/>
  <c r="D44" i="2"/>
  <c r="E39" i="2"/>
  <c r="E33" i="2"/>
  <c r="E31" i="2" l="1"/>
  <c r="D31" i="2"/>
  <c r="E29" i="2"/>
  <c r="D29" i="2"/>
  <c r="E24" i="2"/>
  <c r="D24" i="2"/>
  <c r="D22" i="2"/>
  <c r="E13" i="2"/>
  <c r="D13" i="2"/>
  <c r="E10" i="2"/>
  <c r="E5" i="2" l="1"/>
  <c r="D5" i="2"/>
  <c r="E4" i="2"/>
  <c r="D17" i="2" l="1"/>
  <c r="D50" i="2"/>
  <c r="D47" i="2"/>
  <c r="D45" i="2"/>
  <c r="D39" i="2"/>
  <c r="D34" i="2"/>
  <c r="D27" i="2"/>
  <c r="D26" i="2"/>
  <c r="D21" i="2"/>
</calcChain>
</file>

<file path=xl/sharedStrings.xml><?xml version="1.0" encoding="utf-8"?>
<sst xmlns="http://schemas.openxmlformats.org/spreadsheetml/2006/main" count="100" uniqueCount="95">
  <si>
    <t>Tabela parametrów i wskaźników inwestycji</t>
  </si>
  <si>
    <t>parametr</t>
  </si>
  <si>
    <t>opis</t>
  </si>
  <si>
    <t>APK</t>
  </si>
  <si>
    <t>WPK</t>
  </si>
  <si>
    <t>projekt budowlany</t>
  </si>
  <si>
    <t>projekt wykonawczy (sprzedaż)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</si>
  <si>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</si>
  <si>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</si>
  <si>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</si>
  <si>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</si>
  <si>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</si>
  <si>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</si>
  <si>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</si>
  <si>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</si>
  <si>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</si>
  <si>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</si>
  <si>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</si>
  <si>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</si>
  <si>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</si>
  <si>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</si>
  <si>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</si>
  <si>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</si>
  <si>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</si>
  <si>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</si>
  <si>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</si>
  <si>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</si>
  <si>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</si>
  <si>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</si>
  <si>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</si>
  <si>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</si>
  <si>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</si>
  <si>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</si>
  <si>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</si>
  <si>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</si>
  <si>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</si>
  <si>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</si>
  <si>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</si>
  <si>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</si>
  <si>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</si>
  <si>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</si>
  <si>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</si>
  <si>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</si>
  <si>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</si>
  <si>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</si>
  <si>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</si>
  <si>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</si>
  <si>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</si>
  <si>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</si>
  <si>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</si>
  <si>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</si>
  <si>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</si>
  <si>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</si>
  <si>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</si>
  <si>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</si>
  <si>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</si>
  <si>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</si>
  <si>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</si>
  <si>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</si>
  <si>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</si>
  <si>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</si>
  <si>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</si>
  <si>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</si>
  <si>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</si>
  <si>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nieszkalnych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</si>
  <si>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</si>
  <si>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</si>
  <si>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</si>
  <si>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</si>
  <si>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</si>
  <si>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</si>
  <si>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</si>
  <si>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</si>
  <si>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</si>
  <si>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</si>
  <si>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</si>
  <si>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</si>
  <si>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</si>
  <si>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</si>
  <si>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</si>
  <si>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</si>
  <si>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</si>
  <si>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</si>
  <si>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</si>
  <si>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</si>
  <si>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</si>
  <si>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</si>
  <si>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</si>
  <si>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</si>
  <si>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</si>
  <si>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</si>
  <si>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</si>
  <si>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</si>
  <si>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>Przez powierzchnie użytkową lokalu należy rozumieć powierzchnię wszystkich pomieszczeń znajdujących się w lokalu. Obmiar powierzchni dokonuje się w świetle wyprawionych ścian.</t>
  </si>
  <si>
    <t>balkony i loggie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</si>
</sst>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i/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6DCE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rgb="FFD6DCE5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/>
    <xf numFmtId="2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7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colors>
    <mruColors>
      <color rgb="FFFF7171"/>
      <color rgb="FFD9D9D9"/>
      <color rgb="FFF7E1F5"/>
      <color rgb="FFC589BF"/>
      <color rgb="FFB6A9DB"/>
      <color rgb="FFEFC7EB"/>
      <color rgb="FFF0CE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5132-2DD7-4EC8-9853-2166C47CDA22}">
  <dimension ref="A1:O67"/>
  <sheetViews>
    <sheetView tabSelected="1" zoomScaleNormal="100" workbookViewId="0">
      <selection activeCell="F54" sqref="F54"/>
    </sheetView>
  </sheetViews>
  <sheetFormatPr defaultRowHeight="15" x14ac:dyDescent="0.25"/>
  <cols>
    <col min="1" max="1" width="16.42578125" customWidth="1"/>
    <col min="2" max="2" width="51.85546875" style="2" customWidth="1"/>
    <col min="3" max="3" width="10.42578125" style="1" customWidth="1"/>
    <col min="4" max="5" width="16.85546875" style="1" customWidth="1"/>
    <col min="6" max="7" width="16.85546875" customWidth="1"/>
  </cols>
  <sheetData>
    <row r="1" spans="1:7" x14ac:dyDescent="0.25">
      <c r="B1"/>
      <c r="C1"/>
      <c r="D1"/>
      <c r="E1"/>
    </row>
    <row r="2" spans="1:7" ht="27" customHeight="1" x14ac:dyDescent="0.25">
      <c r="A2" s="26" t="s">
        <v>0</v>
      </c>
      <c r="B2" s="26"/>
      <c r="C2" s="26"/>
      <c r="D2" s="26"/>
      <c r="E2" s="26"/>
      <c r="F2" s="26"/>
      <c r="G2" s="26"/>
    </row>
    <row r="3" spans="1:7" ht="43.35" customHeight="1" x14ac:dyDescent="0.25">
      <c r="A3" s="27" t="s">
        <v>1</v>
      </c>
      <c r="B3" s="27"/>
      <c r="C3" s="18" t="s">
        <v>2</v>
      </c>
      <c r="D3" s="18" t="s">
        <v>3</v>
      </c>
      <c r="E3" s="18" t="s">
        <v>4</v>
      </c>
      <c r="F3" s="17" t="s">
        <v>5</v>
      </c>
      <c r="G3" s="17" t="s">
        <v>6</v>
      </c>
    </row>
    <row r="4" spans="1:7" ht="15" customHeight="1" x14ac:dyDescent="0.25">
      <c r="A4" s="28" t="s">
        <v>7</v>
      </c>
      <c r="B4" s="28" t="s">
        <v>8</v>
      </c>
      <c r="C4" s="19" t="s">
        <v>9</v>
      </c>
      <c r="D4" s="18">
        <v>12887</v>
      </c>
      <c r="E4" s="18">
        <f>D4</f>
        <v>12887</v>
      </c>
      <c r="F4" s="17"/>
      <c r="G4" s="17"/>
    </row>
    <row r="5" spans="1:7" ht="15" customHeight="1" x14ac:dyDescent="0.25">
      <c r="A5" s="28" t="s">
        <v>10</v>
      </c>
      <c r="B5" s="28"/>
      <c r="C5" s="19"/>
      <c r="D5" s="20">
        <f>2933.93/D4</f>
        <v>0.22766586482501744</v>
      </c>
      <c r="E5" s="20">
        <f>2933.93/E4</f>
        <v>0.22766586482501744</v>
      </c>
      <c r="F5" s="17"/>
      <c r="G5" s="17"/>
    </row>
    <row r="6" spans="1:7" ht="15" customHeight="1" x14ac:dyDescent="0.25">
      <c r="A6" s="28" t="s">
        <v>11</v>
      </c>
      <c r="B6" s="28"/>
      <c r="C6" s="19"/>
      <c r="D6" s="18">
        <v>2265.17</v>
      </c>
      <c r="E6" s="18">
        <f>E7+E8</f>
        <v>2116.7200000000003</v>
      </c>
      <c r="F6" s="17"/>
      <c r="G6" s="17"/>
    </row>
    <row r="7" spans="1:7" ht="15" customHeight="1" x14ac:dyDescent="0.25">
      <c r="A7" s="29" t="s">
        <v>12</v>
      </c>
      <c r="B7" s="29"/>
      <c r="C7" s="19"/>
      <c r="D7" s="18">
        <v>361.63</v>
      </c>
      <c r="E7" s="18">
        <v>333.24</v>
      </c>
      <c r="F7" s="17"/>
      <c r="G7" s="17"/>
    </row>
    <row r="8" spans="1:7" ht="15" customHeight="1" x14ac:dyDescent="0.25">
      <c r="A8" s="29" t="s">
        <v>13</v>
      </c>
      <c r="B8" s="29"/>
      <c r="C8" s="19"/>
      <c r="D8" s="18">
        <v>1903.54</v>
      </c>
      <c r="E8" s="18">
        <v>1783.48</v>
      </c>
      <c r="F8" s="17"/>
      <c r="G8" s="17"/>
    </row>
    <row r="9" spans="1:7" ht="15" customHeight="1" x14ac:dyDescent="0.25">
      <c r="A9" s="28" t="s">
        <v>14</v>
      </c>
      <c r="B9" s="28"/>
      <c r="C9" s="19"/>
      <c r="D9" s="18">
        <v>3962.62</v>
      </c>
      <c r="E9" s="18">
        <v>4111.07</v>
      </c>
      <c r="F9" s="17"/>
      <c r="G9" s="17"/>
    </row>
    <row r="10" spans="1:7" ht="15" customHeight="1" x14ac:dyDescent="0.25">
      <c r="A10" s="29" t="s">
        <v>15</v>
      </c>
      <c r="B10" s="29"/>
      <c r="C10" s="19"/>
      <c r="D10" s="18">
        <v>1775.28</v>
      </c>
      <c r="E10" s="18">
        <f>E9-E11</f>
        <v>1944.4999999999995</v>
      </c>
      <c r="F10" s="17"/>
      <c r="G10" s="17"/>
    </row>
    <row r="11" spans="1:7" ht="15" customHeight="1" x14ac:dyDescent="0.25">
      <c r="A11" s="29" t="s">
        <v>16</v>
      </c>
      <c r="B11" s="29"/>
      <c r="C11" s="19"/>
      <c r="D11" s="18">
        <v>2187.34</v>
      </c>
      <c r="E11" s="18">
        <v>2166.5700000000002</v>
      </c>
      <c r="F11" s="17"/>
      <c r="G11" s="17"/>
    </row>
    <row r="12" spans="1:7" ht="15" customHeight="1" x14ac:dyDescent="0.25">
      <c r="A12" s="29" t="s">
        <v>17</v>
      </c>
      <c r="B12" s="29"/>
      <c r="C12" s="19"/>
      <c r="D12" s="18">
        <v>0</v>
      </c>
      <c r="E12" s="18">
        <v>0</v>
      </c>
      <c r="F12" s="17"/>
      <c r="G12" s="17"/>
    </row>
    <row r="13" spans="1:7" ht="15" customHeight="1" x14ac:dyDescent="0.25">
      <c r="A13" s="28" t="s">
        <v>18</v>
      </c>
      <c r="B13" s="28"/>
      <c r="C13" s="19"/>
      <c r="D13" s="20">
        <f>D9/D4</f>
        <v>0.30748971832078836</v>
      </c>
      <c r="E13" s="20">
        <f>E9/E4</f>
        <v>0.3190090789167378</v>
      </c>
      <c r="F13" s="17"/>
      <c r="G13" s="17"/>
    </row>
    <row r="14" spans="1:7" ht="15" customHeight="1" x14ac:dyDescent="0.25">
      <c r="A14" s="30" t="s">
        <v>19</v>
      </c>
      <c r="B14" s="30"/>
      <c r="C14" s="9" t="s">
        <v>20</v>
      </c>
      <c r="D14" s="35">
        <f>D17+D20</f>
        <v>8476.6</v>
      </c>
      <c r="E14" s="35">
        <f>E17+E20</f>
        <v>8492.44</v>
      </c>
      <c r="F14" s="15"/>
      <c r="G14" s="15"/>
    </row>
    <row r="15" spans="1:7" ht="15" customHeight="1" x14ac:dyDescent="0.25">
      <c r="A15" s="30" t="s">
        <v>21</v>
      </c>
      <c r="B15" s="30"/>
      <c r="C15" s="9" t="s">
        <v>22</v>
      </c>
      <c r="D15" s="36">
        <f>D16+D19</f>
        <v>171</v>
      </c>
      <c r="E15" s="36">
        <f>E16+E19</f>
        <v>160</v>
      </c>
      <c r="F15" s="15"/>
      <c r="G15" s="15"/>
    </row>
    <row r="16" spans="1:7" ht="15" customHeight="1" x14ac:dyDescent="0.25">
      <c r="A16" s="29" t="s">
        <v>23</v>
      </c>
      <c r="B16" s="29" t="s">
        <v>8</v>
      </c>
      <c r="C16" s="11" t="s">
        <v>24</v>
      </c>
      <c r="D16" s="11">
        <v>171</v>
      </c>
      <c r="E16" s="23">
        <v>160</v>
      </c>
      <c r="F16" s="13"/>
      <c r="G16" s="13"/>
    </row>
    <row r="17" spans="1:7" ht="15" customHeight="1" x14ac:dyDescent="0.25">
      <c r="A17" s="29" t="s">
        <v>25</v>
      </c>
      <c r="B17" s="29" t="s">
        <v>26</v>
      </c>
      <c r="C17" s="11" t="s">
        <v>27</v>
      </c>
      <c r="D17" s="11">
        <f>8476.6</f>
        <v>8476.6</v>
      </c>
      <c r="E17" s="11">
        <v>8492.44</v>
      </c>
      <c r="F17" s="13"/>
      <c r="G17" s="13"/>
    </row>
    <row r="18" spans="1:7" ht="15" customHeight="1" x14ac:dyDescent="0.25">
      <c r="A18" s="31" t="s">
        <v>28</v>
      </c>
      <c r="B18" s="31" t="s">
        <v>29</v>
      </c>
      <c r="C18" s="9" t="s">
        <v>30</v>
      </c>
      <c r="D18" s="35">
        <f>IFERROR(D17/D16,"Brak danych")</f>
        <v>49.570760233918129</v>
      </c>
      <c r="E18" s="35">
        <f>IFERROR(E17/E16,"Brak danych")</f>
        <v>53.077750000000002</v>
      </c>
      <c r="F18" s="16"/>
      <c r="G18" s="16"/>
    </row>
    <row r="19" spans="1:7" ht="15" customHeight="1" x14ac:dyDescent="0.25">
      <c r="A19" s="29" t="s">
        <v>31</v>
      </c>
      <c r="B19" s="29" t="s">
        <v>32</v>
      </c>
      <c r="C19" s="11" t="s">
        <v>33</v>
      </c>
      <c r="D19" s="11">
        <v>0</v>
      </c>
      <c r="E19" s="11">
        <v>0</v>
      </c>
      <c r="F19" s="13"/>
      <c r="G19" s="13"/>
    </row>
    <row r="20" spans="1:7" ht="15" customHeight="1" x14ac:dyDescent="0.25">
      <c r="A20" s="29" t="s">
        <v>34</v>
      </c>
      <c r="B20" s="29" t="s">
        <v>35</v>
      </c>
      <c r="C20" s="11" t="s">
        <v>36</v>
      </c>
      <c r="D20" s="11">
        <v>0</v>
      </c>
      <c r="E20" s="11">
        <v>0</v>
      </c>
      <c r="F20" s="13"/>
      <c r="G20" s="13"/>
    </row>
    <row r="21" spans="1:7" ht="15" customHeight="1" x14ac:dyDescent="0.25">
      <c r="A21" s="28" t="s">
        <v>37</v>
      </c>
      <c r="B21" s="28" t="s">
        <v>38</v>
      </c>
      <c r="C21" s="11"/>
      <c r="D21" s="11">
        <f>697.5</f>
        <v>697.5</v>
      </c>
      <c r="E21" s="11">
        <v>935.92</v>
      </c>
      <c r="F21" s="11"/>
      <c r="G21" s="11"/>
    </row>
    <row r="22" spans="1:7" ht="45" customHeight="1" x14ac:dyDescent="0.25">
      <c r="A22" s="29" t="s">
        <v>39</v>
      </c>
      <c r="B22" s="29" t="s">
        <v>38</v>
      </c>
      <c r="C22" s="11"/>
      <c r="D22" s="11">
        <f>440.24</f>
        <v>440.24</v>
      </c>
      <c r="E22" s="11">
        <v>302.66000000000003</v>
      </c>
      <c r="F22" s="11"/>
      <c r="G22" s="11"/>
    </row>
    <row r="23" spans="1:7" ht="15" customHeight="1" x14ac:dyDescent="0.25">
      <c r="A23" s="30" t="s">
        <v>40</v>
      </c>
      <c r="B23" s="30"/>
      <c r="C23" s="9" t="s">
        <v>41</v>
      </c>
      <c r="D23" s="36">
        <f>D26+D27</f>
        <v>175</v>
      </c>
      <c r="E23" s="36">
        <f>E26+E27</f>
        <v>175</v>
      </c>
      <c r="F23" s="15"/>
      <c r="G23" s="15"/>
    </row>
    <row r="24" spans="1:7" ht="15" customHeight="1" x14ac:dyDescent="0.25">
      <c r="A24" s="28" t="s">
        <v>42</v>
      </c>
      <c r="B24" s="28"/>
      <c r="C24" s="11"/>
      <c r="D24" s="21">
        <f>D16*0.8</f>
        <v>136.80000000000001</v>
      </c>
      <c r="E24" s="21">
        <f>E16*0.8</f>
        <v>128</v>
      </c>
      <c r="F24" s="10"/>
      <c r="G24" s="10"/>
    </row>
    <row r="25" spans="1:7" ht="15" customHeight="1" x14ac:dyDescent="0.25">
      <c r="A25" s="29" t="s">
        <v>43</v>
      </c>
      <c r="B25" s="29" t="s">
        <v>38</v>
      </c>
      <c r="C25" s="11"/>
      <c r="D25" s="11">
        <v>5</v>
      </c>
      <c r="E25" s="11">
        <v>5</v>
      </c>
      <c r="F25" s="11"/>
      <c r="G25" s="13"/>
    </row>
    <row r="26" spans="1:7" ht="15" customHeight="1" x14ac:dyDescent="0.25">
      <c r="A26" s="29" t="s">
        <v>44</v>
      </c>
      <c r="B26" s="29" t="s">
        <v>38</v>
      </c>
      <c r="C26" s="11" t="s">
        <v>45</v>
      </c>
      <c r="D26" s="11">
        <f>5+5</f>
        <v>10</v>
      </c>
      <c r="E26" s="11">
        <v>10</v>
      </c>
      <c r="F26" s="13"/>
      <c r="G26" s="13"/>
    </row>
    <row r="27" spans="1:7" ht="15" customHeight="1" x14ac:dyDescent="0.25">
      <c r="A27" s="29" t="s">
        <v>46</v>
      </c>
      <c r="B27" s="29"/>
      <c r="C27" s="11" t="s">
        <v>47</v>
      </c>
      <c r="D27" s="11">
        <f>41+27+42+55</f>
        <v>165</v>
      </c>
      <c r="E27" s="11">
        <v>165</v>
      </c>
      <c r="F27" s="13"/>
      <c r="G27" s="13"/>
    </row>
    <row r="28" spans="1:7" ht="15" customHeight="1" x14ac:dyDescent="0.25">
      <c r="A28" s="29" t="s">
        <v>48</v>
      </c>
      <c r="B28" s="29"/>
      <c r="C28" s="11"/>
      <c r="D28" s="11">
        <v>0</v>
      </c>
      <c r="E28" s="11">
        <v>0</v>
      </c>
      <c r="F28" s="13"/>
      <c r="G28" s="13"/>
    </row>
    <row r="29" spans="1:7" ht="15" customHeight="1" x14ac:dyDescent="0.25">
      <c r="A29" s="29" t="s">
        <v>49</v>
      </c>
      <c r="B29" s="29"/>
      <c r="C29" s="11"/>
      <c r="D29" s="11">
        <f>165*12.5</f>
        <v>2062.5</v>
      </c>
      <c r="E29" s="11">
        <f>E27*12.5</f>
        <v>2062.5</v>
      </c>
      <c r="F29" s="13"/>
      <c r="G29" s="13"/>
    </row>
    <row r="30" spans="1:7" s="14" customFormat="1" ht="15" customHeight="1" x14ac:dyDescent="0.25">
      <c r="A30" s="30" t="s">
        <v>50</v>
      </c>
      <c r="B30" s="30"/>
      <c r="C30" s="9" t="s">
        <v>51</v>
      </c>
      <c r="D30" s="36">
        <f>D31+D36</f>
        <v>93</v>
      </c>
      <c r="E30" s="36">
        <f>E31+E36</f>
        <v>83</v>
      </c>
      <c r="F30" s="15"/>
      <c r="G30" s="15"/>
    </row>
    <row r="31" spans="1:7" ht="15" customHeight="1" x14ac:dyDescent="0.25">
      <c r="A31" s="29" t="s">
        <v>52</v>
      </c>
      <c r="B31" s="29"/>
      <c r="C31" s="11" t="s">
        <v>53</v>
      </c>
      <c r="D31" s="11">
        <f>D32+D33</f>
        <v>93</v>
      </c>
      <c r="E31" s="11">
        <f>E32+E33</f>
        <v>83</v>
      </c>
      <c r="F31" s="13"/>
      <c r="G31" s="13"/>
    </row>
    <row r="32" spans="1:7" ht="15" customHeight="1" x14ac:dyDescent="0.25">
      <c r="A32" s="29" t="s">
        <v>54</v>
      </c>
      <c r="B32" s="29"/>
      <c r="C32" s="11"/>
      <c r="D32" s="11">
        <v>13</v>
      </c>
      <c r="E32" s="11">
        <v>19</v>
      </c>
      <c r="F32" s="13"/>
      <c r="G32" s="13"/>
    </row>
    <row r="33" spans="1:7" ht="15" customHeight="1" x14ac:dyDescent="0.25">
      <c r="A33" s="29" t="s">
        <v>55</v>
      </c>
      <c r="B33" s="29"/>
      <c r="C33" s="11"/>
      <c r="D33" s="11">
        <v>80</v>
      </c>
      <c r="E33" s="11">
        <f>6+14+17+27</f>
        <v>64</v>
      </c>
      <c r="F33" s="13"/>
      <c r="G33" s="13"/>
    </row>
    <row r="34" spans="1:7" ht="15" customHeight="1" x14ac:dyDescent="0.25">
      <c r="A34" s="29" t="s">
        <v>56</v>
      </c>
      <c r="B34" s="29"/>
      <c r="C34" s="11"/>
      <c r="D34" s="11">
        <f>413.8</f>
        <v>413.8</v>
      </c>
      <c r="E34" s="11">
        <v>329.28</v>
      </c>
      <c r="F34" s="13"/>
      <c r="G34" s="13"/>
    </row>
    <row r="35" spans="1:7" ht="15" customHeight="1" x14ac:dyDescent="0.25">
      <c r="A35" s="29" t="s">
        <v>57</v>
      </c>
      <c r="B35" s="29"/>
      <c r="C35" s="11"/>
      <c r="D35" s="11">
        <f>4845.22</f>
        <v>4845.22</v>
      </c>
      <c r="E35" s="1">
        <v>4702.12</v>
      </c>
      <c r="F35" s="13"/>
      <c r="G35" s="13"/>
    </row>
    <row r="36" spans="1:7" ht="15" customHeight="1" x14ac:dyDescent="0.25">
      <c r="A36" s="29" t="s">
        <v>58</v>
      </c>
      <c r="B36" s="29"/>
      <c r="C36" s="11" t="s">
        <v>59</v>
      </c>
      <c r="D36" s="11">
        <v>0</v>
      </c>
      <c r="E36" s="11">
        <v>0</v>
      </c>
      <c r="F36" s="13"/>
      <c r="G36" s="13"/>
    </row>
    <row r="37" spans="1:7" ht="15" customHeight="1" x14ac:dyDescent="0.25">
      <c r="A37" s="28" t="s">
        <v>60</v>
      </c>
      <c r="B37" s="28"/>
      <c r="C37" s="11" t="s">
        <v>61</v>
      </c>
      <c r="D37" s="11">
        <v>7</v>
      </c>
      <c r="E37" s="11">
        <v>8</v>
      </c>
      <c r="F37" s="13"/>
      <c r="G37" s="13"/>
    </row>
    <row r="38" spans="1:7" ht="15" customHeight="1" x14ac:dyDescent="0.25">
      <c r="A38" s="29" t="s">
        <v>62</v>
      </c>
      <c r="B38" s="29"/>
      <c r="C38" s="11"/>
      <c r="D38" s="11">
        <v>12.4</v>
      </c>
      <c r="E38" s="11">
        <v>12.4</v>
      </c>
      <c r="F38" s="13"/>
      <c r="G38" s="13"/>
    </row>
    <row r="39" spans="1:7" ht="15" customHeight="1" x14ac:dyDescent="0.25">
      <c r="A39" s="29" t="s">
        <v>63</v>
      </c>
      <c r="B39" s="29"/>
      <c r="C39" s="11"/>
      <c r="D39" s="11">
        <f>2.68</f>
        <v>2.68</v>
      </c>
      <c r="E39" s="11">
        <f>2.68</f>
        <v>2.68</v>
      </c>
      <c r="F39" s="13"/>
      <c r="G39" s="13"/>
    </row>
    <row r="40" spans="1:7" ht="15" customHeight="1" x14ac:dyDescent="0.25">
      <c r="A40" s="29" t="s">
        <v>64</v>
      </c>
      <c r="B40" s="29"/>
      <c r="C40" s="11"/>
      <c r="D40" s="11">
        <v>2.68</v>
      </c>
      <c r="E40" s="11">
        <v>2.68</v>
      </c>
      <c r="F40" s="13"/>
      <c r="G40" s="13"/>
    </row>
    <row r="41" spans="1:7" ht="15" customHeight="1" x14ac:dyDescent="0.25">
      <c r="A41" s="29" t="s">
        <v>65</v>
      </c>
      <c r="B41" s="29"/>
      <c r="C41" s="11"/>
      <c r="D41" s="11">
        <v>4</v>
      </c>
      <c r="E41" s="11">
        <v>4</v>
      </c>
      <c r="F41" s="13"/>
      <c r="G41" s="13"/>
    </row>
    <row r="42" spans="1:7" ht="15" customHeight="1" x14ac:dyDescent="0.25">
      <c r="A42" s="29" t="s">
        <v>66</v>
      </c>
      <c r="B42" s="29"/>
      <c r="C42" s="11"/>
      <c r="D42" s="11">
        <v>1</v>
      </c>
      <c r="E42" s="11">
        <v>1</v>
      </c>
      <c r="F42" s="13"/>
      <c r="G42" s="13"/>
    </row>
    <row r="43" spans="1:7" ht="15" customHeight="1" x14ac:dyDescent="0.25">
      <c r="A43" s="29" t="s">
        <v>67</v>
      </c>
      <c r="B43" s="29"/>
      <c r="C43" s="11" t="s">
        <v>68</v>
      </c>
      <c r="D43" s="11">
        <v>7</v>
      </c>
      <c r="E43" s="11">
        <v>8</v>
      </c>
      <c r="F43" s="13"/>
      <c r="G43" s="13"/>
    </row>
    <row r="44" spans="1:7" ht="15" customHeight="1" x14ac:dyDescent="0.25">
      <c r="A44" s="30" t="s">
        <v>69</v>
      </c>
      <c r="B44" s="30"/>
      <c r="C44" s="11" t="s">
        <v>70</v>
      </c>
      <c r="D44" s="11">
        <f>D47+D49</f>
        <v>17029.53</v>
      </c>
      <c r="E44" s="11">
        <f>E47+E49</f>
        <v>16774.96</v>
      </c>
      <c r="F44" s="13"/>
      <c r="G44" s="13"/>
    </row>
    <row r="45" spans="1:7" ht="15" customHeight="1" x14ac:dyDescent="0.25">
      <c r="A45" s="29" t="s">
        <v>71</v>
      </c>
      <c r="B45" s="29"/>
      <c r="C45" s="11"/>
      <c r="D45" s="11">
        <f>666.93</f>
        <v>666.93</v>
      </c>
      <c r="E45" s="11">
        <f>D45</f>
        <v>666.93</v>
      </c>
      <c r="F45" s="13"/>
      <c r="G45" s="13"/>
    </row>
    <row r="46" spans="1:7" ht="15" customHeight="1" x14ac:dyDescent="0.25">
      <c r="A46" s="30" t="s">
        <v>72</v>
      </c>
      <c r="B46" s="30"/>
      <c r="C46" s="11" t="s">
        <v>73</v>
      </c>
      <c r="D46" s="37">
        <f>D45+D44</f>
        <v>17696.46</v>
      </c>
      <c r="E46" s="37">
        <f>E45+E44</f>
        <v>17441.89</v>
      </c>
      <c r="F46" s="13"/>
      <c r="G46" s="13"/>
    </row>
    <row r="47" spans="1:7" ht="15" customHeight="1" x14ac:dyDescent="0.25">
      <c r="A47" s="30" t="s">
        <v>74</v>
      </c>
      <c r="B47" s="30"/>
      <c r="C47" s="11" t="s">
        <v>75</v>
      </c>
      <c r="D47" s="11">
        <f>2933.93*4</f>
        <v>11735.72</v>
      </c>
      <c r="E47" s="11">
        <f>2933.93*4</f>
        <v>11735.72</v>
      </c>
      <c r="F47" s="13"/>
      <c r="G47" s="13"/>
    </row>
    <row r="48" spans="1:7" ht="15" customHeight="1" x14ac:dyDescent="0.25">
      <c r="A48" s="30" t="s">
        <v>76</v>
      </c>
      <c r="B48" s="30"/>
      <c r="C48" s="11" t="s">
        <v>77</v>
      </c>
      <c r="D48" s="37">
        <f>D47+D45</f>
        <v>12402.65</v>
      </c>
      <c r="E48" s="37">
        <f>E47+E45</f>
        <v>12402.65</v>
      </c>
      <c r="F48" s="13"/>
      <c r="G48" s="13"/>
    </row>
    <row r="49" spans="1:15" ht="15" customHeight="1" x14ac:dyDescent="0.25">
      <c r="A49" s="30" t="s">
        <v>78</v>
      </c>
      <c r="B49" s="30"/>
      <c r="C49" s="9" t="s">
        <v>79</v>
      </c>
      <c r="D49" s="9">
        <f>5293.81</f>
        <v>5293.81</v>
      </c>
      <c r="E49" s="9">
        <v>5039.24</v>
      </c>
      <c r="F49" s="12"/>
      <c r="G49" s="12"/>
    </row>
    <row r="50" spans="1:15" ht="15" customHeight="1" x14ac:dyDescent="0.25">
      <c r="A50" s="29" t="s">
        <v>80</v>
      </c>
      <c r="B50" s="29"/>
      <c r="C50" s="11" t="s">
        <v>81</v>
      </c>
      <c r="D50" s="11">
        <f>7137.19</f>
        <v>7137.19</v>
      </c>
      <c r="E50" s="22">
        <f>D50</f>
        <v>7137.19</v>
      </c>
      <c r="F50" s="10"/>
      <c r="G50" s="10"/>
    </row>
    <row r="51" spans="1:15" ht="15" customHeight="1" x14ac:dyDescent="0.25">
      <c r="A51" s="30" t="s">
        <v>82</v>
      </c>
      <c r="B51" s="30"/>
      <c r="C51" s="9"/>
      <c r="D51" s="35">
        <f>IFERROR(D14/D47,"Brak danych")</f>
        <v>0.72229057952984566</v>
      </c>
      <c r="E51" s="35">
        <f>IFERROR(E14/E47,"Brak danych")</f>
        <v>0.72364030498341825</v>
      </c>
      <c r="F51" s="8"/>
      <c r="G51" s="8"/>
    </row>
    <row r="52" spans="1:15" ht="15" customHeight="1" x14ac:dyDescent="0.25">
      <c r="A52" s="30" t="s">
        <v>83</v>
      </c>
      <c r="B52" s="30"/>
      <c r="C52" s="9"/>
      <c r="D52" s="35">
        <f>IFERROR(D14/D48,"Brak danych")</f>
        <v>0.68345071416189285</v>
      </c>
      <c r="E52" s="35">
        <f>IFERROR(E14/E48,"Brak danych")</f>
        <v>0.68472786057818291</v>
      </c>
      <c r="F52" s="8"/>
      <c r="G52" s="8"/>
      <c r="M52" t="s">
        <v>94</v>
      </c>
      <c r="O52">
        <f>38*3*5.16</f>
        <v>588.24</v>
      </c>
    </row>
    <row r="53" spans="1:15" ht="15" customHeight="1" x14ac:dyDescent="0.25">
      <c r="A53" s="30" t="s">
        <v>84</v>
      </c>
      <c r="B53" s="30"/>
      <c r="C53" s="9"/>
      <c r="D53" s="35">
        <f>IFERROR(D14/D44,"Brak danych")</f>
        <v>0.49775889293480213</v>
      </c>
      <c r="E53" s="35">
        <f>IFERROR(E14/E44,"Brak danych")</f>
        <v>0.50625694487498041</v>
      </c>
      <c r="F53" s="8"/>
      <c r="G53" s="8"/>
      <c r="O53">
        <f>3*4.39+3*5.77+3*3.88</f>
        <v>42.12</v>
      </c>
    </row>
    <row r="54" spans="1:15" ht="15" customHeight="1" x14ac:dyDescent="0.25">
      <c r="A54" s="30" t="s">
        <v>85</v>
      </c>
      <c r="B54" s="30"/>
      <c r="C54" s="9"/>
      <c r="D54" s="35">
        <f>IFERROR(D14/D46,"Brak danych")</f>
        <v>0.47899975475321055</v>
      </c>
      <c r="E54" s="35">
        <f>IFERROR(E14/E46,"Brak danych")</f>
        <v>0.48689906885091011</v>
      </c>
      <c r="F54" s="8"/>
      <c r="G54" s="8"/>
    </row>
    <row r="55" spans="1:15" ht="15" customHeight="1" x14ac:dyDescent="0.25">
      <c r="A55" s="30" t="s">
        <v>86</v>
      </c>
      <c r="B55" s="30"/>
      <c r="C55" s="9"/>
      <c r="D55" s="35">
        <f>IFERROR(D49/D27,"Brak danych")</f>
        <v>32.083696969696973</v>
      </c>
      <c r="E55" s="35">
        <f>IFERROR(E49/E27,"Brak danych")</f>
        <v>30.540848484848482</v>
      </c>
      <c r="F55" s="8"/>
      <c r="G55" s="8"/>
      <c r="O55">
        <f>O52+O53</f>
        <v>630.36</v>
      </c>
    </row>
    <row r="56" spans="1:15" ht="15" customHeight="1" x14ac:dyDescent="0.25">
      <c r="A56" s="30" t="s">
        <v>87</v>
      </c>
      <c r="B56" s="30"/>
      <c r="C56" s="9"/>
      <c r="D56" s="35">
        <f>IFERROR(D14/D4,"Brak danych")</f>
        <v>0.65776363777450142</v>
      </c>
      <c r="E56" s="35">
        <f>IFERROR(E14/E4,"Brak danych")</f>
        <v>0.65899278342515721</v>
      </c>
      <c r="F56" s="8"/>
      <c r="G56" s="8"/>
    </row>
    <row r="57" spans="1:15" ht="15" customHeight="1" x14ac:dyDescent="0.25">
      <c r="A57" s="30" t="s">
        <v>88</v>
      </c>
      <c r="B57" s="30"/>
      <c r="C57" s="9"/>
      <c r="D57" s="35">
        <f>IFERROR(D14/D37,"Brak danych")</f>
        <v>1210.9428571428573</v>
      </c>
      <c r="E57" s="35">
        <f>IFERROR(E14/E37,"Brak danych")</f>
        <v>1061.5550000000001</v>
      </c>
      <c r="F57" s="8"/>
      <c r="G57" s="8"/>
    </row>
    <row r="58" spans="1:15" ht="15" customHeight="1" x14ac:dyDescent="0.25">
      <c r="A58" s="30" t="s">
        <v>86</v>
      </c>
      <c r="B58" s="30"/>
      <c r="C58" s="9"/>
      <c r="D58" s="35">
        <f>IFERROR(D49/D27,"Brak danych")</f>
        <v>32.083696969696973</v>
      </c>
      <c r="E58" s="35">
        <f>IFERROR(E49/E27,"Brak danych")</f>
        <v>30.540848484848482</v>
      </c>
      <c r="F58" s="8"/>
      <c r="G58" s="8"/>
    </row>
    <row r="59" spans="1:15" ht="15" customHeight="1" x14ac:dyDescent="0.25">
      <c r="A59" s="30" t="s">
        <v>89</v>
      </c>
      <c r="B59" s="30"/>
      <c r="C59" s="9"/>
      <c r="D59" s="35">
        <f>IFERROR(D16/D43,"Brak danych")</f>
        <v>24.428571428571427</v>
      </c>
      <c r="E59" s="35">
        <f>IFERROR(E16/E43,"Brak danych")</f>
        <v>20</v>
      </c>
      <c r="F59" s="8"/>
      <c r="G59" s="8"/>
    </row>
    <row r="60" spans="1:15" ht="15" customHeight="1" x14ac:dyDescent="0.25">
      <c r="A60" s="30" t="s">
        <v>90</v>
      </c>
      <c r="B60" s="30"/>
      <c r="C60" s="9"/>
      <c r="D60" s="35">
        <f>IFERROR(D44/D49,"Brak danych")</f>
        <v>3.2168759362349606</v>
      </c>
      <c r="E60" s="35">
        <f>IFERROR(E44/E49,"Brak danych")</f>
        <v>3.3288670513807639</v>
      </c>
      <c r="F60" s="8"/>
      <c r="G60" s="8"/>
    </row>
    <row r="61" spans="1:15" ht="15" customHeight="1" x14ac:dyDescent="0.25">
      <c r="A61" s="30" t="s">
        <v>91</v>
      </c>
      <c r="B61" s="30"/>
      <c r="C61" s="9"/>
      <c r="D61" s="36">
        <f>IFERROR(D16/D37,"Brak danych")</f>
        <v>24.428571428571427</v>
      </c>
      <c r="E61" s="36">
        <f>IFERROR(E16/E37,"Brak danych")</f>
        <v>20</v>
      </c>
      <c r="F61" s="8"/>
      <c r="G61" s="8"/>
    </row>
    <row r="62" spans="1:15" ht="15" customHeight="1" x14ac:dyDescent="0.25">
      <c r="A62" s="32" t="s">
        <v>92</v>
      </c>
      <c r="B62" s="33"/>
      <c r="C62" s="9"/>
      <c r="D62" s="35">
        <f>IFERROR(D50/D14,"Brak danych")</f>
        <v>0.84198735342000319</v>
      </c>
      <c r="E62" s="35">
        <f>IFERROR(E50/E14,"Brak danych")</f>
        <v>0.84041688843253515</v>
      </c>
      <c r="F62" s="8"/>
      <c r="G62" s="8"/>
    </row>
    <row r="63" spans="1:15" ht="15" customHeight="1" x14ac:dyDescent="0.25">
      <c r="A63" s="34"/>
      <c r="B63" s="34"/>
      <c r="C63" s="9"/>
      <c r="D63" s="9"/>
      <c r="E63" s="9"/>
      <c r="F63" s="8"/>
      <c r="G63" s="8"/>
    </row>
    <row r="64" spans="1:15" s="3" customFormat="1" x14ac:dyDescent="0.25">
      <c r="B64" s="7"/>
      <c r="C64" s="6"/>
      <c r="D64" s="6"/>
      <c r="E64" s="6"/>
    </row>
    <row r="65" spans="1:7" ht="45" customHeight="1" x14ac:dyDescent="0.25">
      <c r="A65" s="24" t="s">
        <v>93</v>
      </c>
      <c r="B65" s="25"/>
      <c r="C65" s="5"/>
      <c r="D65" s="5"/>
      <c r="E65" s="5"/>
      <c r="F65" s="4"/>
      <c r="G65" s="4"/>
    </row>
    <row r="66" spans="1:7" x14ac:dyDescent="0.25">
      <c r="A66" s="3"/>
    </row>
    <row r="67" spans="1:7" x14ac:dyDescent="0.25">
      <c r="A67" s="3"/>
    </row>
  </sheetData>
  <mergeCells count="63">
    <mergeCell ref="A63:B63"/>
    <mergeCell ref="A56:B5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62:B62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65:B65"/>
    <mergeCell ref="A2:G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Charzyńska DSP INVEST</dc:creator>
  <cp:lastModifiedBy>Julia Łukaszewicz</cp:lastModifiedBy>
  <cp:lastPrinted>2026-06-22T09:41:29Z</cp:lastPrinted>
  <dcterms:created xsi:type="dcterms:W3CDTF">2026-01-22T09:27:47Z</dcterms:created>
  <dcterms:modified xsi:type="dcterms:W3CDTF">2026-09-24T11:28:43Z</dcterms:modified>
</cp:coreProperties>
</file>