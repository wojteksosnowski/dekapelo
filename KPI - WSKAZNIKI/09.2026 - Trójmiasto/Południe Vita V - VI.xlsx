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veliapl-my.sharepoint.com/personal/jlukaszewicz_develia_pl/Documents/Pulpit/Parametry dla APK i WPK/W projektowaniu/"/>
    </mc:Choice>
  </mc:AlternateContent>
  <xr:revisionPtr revIDLastSave="142" documentId="8_{6AD78C75-7B15-4F5F-A584-0C7257ACAD2D}" xr6:coauthVersionLast="47" xr6:coauthVersionMax="47" xr10:uidLastSave="{86383A45-0C91-43D4-B231-7BA808D036B5}"/>
  <bookViews>
    <workbookView xWindow="-120" yWindow="-120" windowWidth="29040" windowHeight="15720" tabRatio="500" firstSheet="1" activeTab="1" xr2:uid="{00000000-000D-0000-FFFF-FFFF00000000}"/>
  </bookViews>
  <sheets>
    <sheet name="etap 4" sheetId="1" state="hidden" r:id="rId1"/>
    <sheet name="etap 5" sheetId="4" r:id="rId2"/>
    <sheet name="etap 6" sheetId="5" r:id="rId3"/>
    <sheet name="zest" sheetId="6" r:id="rId4"/>
  </sheets>
  <definedNames>
    <definedName name="_xlnm.Print_Area" localSheetId="0">'etap 4'!$A$1:$G$74</definedName>
    <definedName name="_xlnm.Print_Area" localSheetId="1">'etap 5'!$A$1:$G$74</definedName>
    <definedName name="_xlnm.Print_Area" localSheetId="2">'etap 6'!$A$1:$G$74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4" i="6" l="1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E62" i="6"/>
  <c r="D62" i="6"/>
  <c r="C62" i="6"/>
  <c r="F44" i="5"/>
  <c r="F44" i="4"/>
  <c r="F44" i="1"/>
  <c r="F47" i="1"/>
  <c r="F47" i="4"/>
  <c r="F47" i="5"/>
  <c r="F6" i="4"/>
  <c r="F5" i="1"/>
  <c r="F5" i="5"/>
  <c r="F5" i="4"/>
  <c r="F13" i="5"/>
  <c r="F13" i="1"/>
  <c r="F13" i="4"/>
  <c r="F9" i="4"/>
  <c r="F9" i="5"/>
  <c r="F9" i="1"/>
  <c r="F6" i="1"/>
  <c r="F6" i="5"/>
  <c r="F34" i="1"/>
  <c r="F31" i="1" l="1"/>
  <c r="F31" i="5"/>
  <c r="F31" i="4"/>
  <c r="F29" i="5"/>
  <c r="F29" i="4"/>
  <c r="F29" i="1"/>
  <c r="F61" i="5"/>
  <c r="D61" i="5"/>
  <c r="F60" i="5"/>
  <c r="D60" i="5"/>
  <c r="F59" i="5"/>
  <c r="D59" i="5"/>
  <c r="F58" i="5"/>
  <c r="D58" i="5"/>
  <c r="D57" i="5"/>
  <c r="D56" i="5"/>
  <c r="F55" i="5"/>
  <c r="D55" i="5"/>
  <c r="F48" i="5"/>
  <c r="D48" i="5"/>
  <c r="F46" i="5"/>
  <c r="D46" i="5"/>
  <c r="F30" i="5"/>
  <c r="D30" i="5"/>
  <c r="F23" i="5"/>
  <c r="D23" i="5"/>
  <c r="F18" i="5"/>
  <c r="D18" i="5"/>
  <c r="F15" i="5"/>
  <c r="D15" i="5"/>
  <c r="F14" i="5"/>
  <c r="F62" i="5" s="1"/>
  <c r="D14" i="5"/>
  <c r="D62" i="5" s="1"/>
  <c r="F61" i="4"/>
  <c r="D61" i="4"/>
  <c r="F60" i="4"/>
  <c r="D60" i="4"/>
  <c r="F59" i="4"/>
  <c r="D59" i="4"/>
  <c r="F58" i="4"/>
  <c r="D58" i="4"/>
  <c r="D57" i="4"/>
  <c r="D56" i="4"/>
  <c r="F55" i="4"/>
  <c r="D55" i="4"/>
  <c r="D53" i="4"/>
  <c r="D52" i="4"/>
  <c r="F48" i="4"/>
  <c r="D48" i="4"/>
  <c r="F46" i="4"/>
  <c r="D46" i="4"/>
  <c r="D54" i="4" s="1"/>
  <c r="F30" i="4"/>
  <c r="D30" i="4"/>
  <c r="F23" i="4"/>
  <c r="D23" i="4"/>
  <c r="F18" i="4"/>
  <c r="D18" i="4"/>
  <c r="F15" i="4"/>
  <c r="D15" i="4"/>
  <c r="F14" i="4"/>
  <c r="D14" i="4"/>
  <c r="D62" i="4" s="1"/>
  <c r="F48" i="1"/>
  <c r="D48" i="1"/>
  <c r="D52" i="1" s="1"/>
  <c r="F46" i="1"/>
  <c r="D46" i="1"/>
  <c r="D54" i="1" s="1"/>
  <c r="F61" i="1"/>
  <c r="F60" i="1"/>
  <c r="F59" i="1"/>
  <c r="F58" i="1"/>
  <c r="F55" i="1"/>
  <c r="D62" i="1"/>
  <c r="D61" i="1"/>
  <c r="D60" i="1"/>
  <c r="D59" i="1"/>
  <c r="D58" i="1"/>
  <c r="D57" i="1"/>
  <c r="D56" i="1"/>
  <c r="D55" i="1"/>
  <c r="D53" i="1"/>
  <c r="D51" i="1"/>
  <c r="F18" i="1"/>
  <c r="D18" i="1"/>
  <c r="F15" i="1"/>
  <c r="F54" i="4" l="1"/>
  <c r="F54" i="1"/>
  <c r="F56" i="5"/>
  <c r="F57" i="5"/>
  <c r="F62" i="4"/>
  <c r="D51" i="5"/>
  <c r="F51" i="5"/>
  <c r="D52" i="5"/>
  <c r="F52" i="5"/>
  <c r="D53" i="5"/>
  <c r="F53" i="5"/>
  <c r="D54" i="5"/>
  <c r="F54" i="5"/>
  <c r="F56" i="4"/>
  <c r="F51" i="4"/>
  <c r="F57" i="4"/>
  <c r="D51" i="4"/>
  <c r="F52" i="4"/>
  <c r="F53" i="4"/>
  <c r="F30" i="1"/>
  <c r="D30" i="1"/>
  <c r="F23" i="1"/>
  <c r="D23" i="1"/>
  <c r="D15" i="1"/>
  <c r="F14" i="1"/>
  <c r="D14" i="1"/>
  <c r="F62" i="1" l="1"/>
  <c r="F57" i="1"/>
  <c r="F53" i="1"/>
  <c r="F52" i="1"/>
  <c r="F51" i="1"/>
  <c r="F56" i="1"/>
</calcChain>
</file>

<file path=xl/sharedStrings.xml><?xml version="1.0" encoding="utf-8"?>
<sst xmlns="http://schemas.openxmlformats.org/spreadsheetml/2006/main" count="375" uniqueCount="97">
  <si>
    <t>Tabela parametrów i wskaźników inwestycji</t>
  </si>
  <si>
    <t>parametr</t>
  </si>
  <si>
    <t>opis</t>
  </si>
  <si>
    <t>APK</t>
  </si>
  <si>
    <t>WPK</t>
  </si>
  <si>
    <t>projekt budowlany</t>
  </si>
  <si>
    <t>projekt wykonawczy (sprzedaż)</t>
  </si>
  <si>
    <t xml:space="preserve">powierzchnia działki </t>
  </si>
  <si>
    <t>im</t>
  </si>
  <si>
    <t>Pd</t>
  </si>
  <si>
    <t>współczynnik powierzchni zabudowy</t>
  </si>
  <si>
    <t>powierzchnia utwardzona (w tym)</t>
  </si>
  <si>
    <t xml:space="preserve">     powierzchnia chodników</t>
  </si>
  <si>
    <t xml:space="preserve">     powierzchnia dróg</t>
  </si>
  <si>
    <t>powierzchnia biologicznie czynna (w tym)</t>
  </si>
  <si>
    <t xml:space="preserve">     powierzchnia biologicznie czynna 100%</t>
  </si>
  <si>
    <t xml:space="preserve">     powierzchnia biologicznie czynna na płycie garażu</t>
  </si>
  <si>
    <t xml:space="preserve">     dachy i tarasy zielone</t>
  </si>
  <si>
    <t>wskaźnik pow. biologicznie czynnej</t>
  </si>
  <si>
    <t>suma powierzchni użytkowej mieszkań i usług</t>
  </si>
  <si>
    <t>PUM+PUU</t>
  </si>
  <si>
    <t>suma lokali mieszkalnych i usługowych</t>
  </si>
  <si>
    <t>il.m. + il.u.</t>
  </si>
  <si>
    <t>ilość lokali mieszkalnych</t>
  </si>
  <si>
    <t>il.m.</t>
  </si>
  <si>
    <t>powierzchnia użytkowa lokali mieszkalnych</t>
  </si>
  <si>
    <t>Pum</t>
  </si>
  <si>
    <t>PUM</t>
  </si>
  <si>
    <t>średnia wielkość lokalu mieszkalnego</t>
  </si>
  <si>
    <t>śrm</t>
  </si>
  <si>
    <t>PUM/il.m.</t>
  </si>
  <si>
    <t>ilość lokali usługowych</t>
  </si>
  <si>
    <t>iu</t>
  </si>
  <si>
    <t>il.u.</t>
  </si>
  <si>
    <t>powierzchnia lokali usługowych</t>
  </si>
  <si>
    <t>Puu</t>
  </si>
  <si>
    <t>PUU</t>
  </si>
  <si>
    <t>powierzchnia części wspólnych</t>
  </si>
  <si>
    <t>imp</t>
  </si>
  <si>
    <t>powierzchnia części wspólnych (bez powierzchni klatek schodowych, w tym podestów, spoczników, pionowych ciągów komunikacyjnych oraz szybów windowych)</t>
  </si>
  <si>
    <t>suma miejsc parkingowych zewn. i miejsc postojowych w garażu</t>
  </si>
  <si>
    <t>impz+impg</t>
  </si>
  <si>
    <t xml:space="preserve">wymagana ilość miejsc parkingowych </t>
  </si>
  <si>
    <t>ilość miejsc parkingowych zewnętrznych w sprzedaży</t>
  </si>
  <si>
    <t>ilość miejsc parkingowych zewnętrznych (wszystkich)</t>
  </si>
  <si>
    <t>impz</t>
  </si>
  <si>
    <t xml:space="preserve">ilość miejsc postojowych w garażu </t>
  </si>
  <si>
    <t>impg</t>
  </si>
  <si>
    <t>w tym tzw. Miejsca rodzinne (zależne)</t>
  </si>
  <si>
    <t>powierzchnia miejsc postojowych w garażu</t>
  </si>
  <si>
    <t>sumaryczna ilość komórek lokatorskich i boksów</t>
  </si>
  <si>
    <t>ik/b/g+ik</t>
  </si>
  <si>
    <t>ilość komórek lokatorskich/boksów w garażu (w tym):</t>
  </si>
  <si>
    <t>ik/b/g</t>
  </si>
  <si>
    <t xml:space="preserve">     ilość komórek lokatorskich tradycyjnych</t>
  </si>
  <si>
    <t xml:space="preserve">     ilość boksów na jednoślady</t>
  </si>
  <si>
    <t>powierzchnia komórek lokatorskich/boksów w garażu</t>
  </si>
  <si>
    <t>powierzchnia wspólna hali garażowej (w tym również pomieszczenia techniczne)</t>
  </si>
  <si>
    <t>ilość komórek lokatorskich na kondygnacjach naziemnych</t>
  </si>
  <si>
    <t>ik</t>
  </si>
  <si>
    <t>ilość klatek schodowych</t>
  </si>
  <si>
    <t>iks</t>
  </si>
  <si>
    <t>wysokość budynku</t>
  </si>
  <si>
    <t>wysokość parteru netto</t>
  </si>
  <si>
    <t>wysokość kondygnacji mieszkalnych netto</t>
  </si>
  <si>
    <t>Ilość kondygnacji nadziemnych (bez garażu)</t>
  </si>
  <si>
    <t>Ilość kondygnacji podziemnych (garaż)</t>
  </si>
  <si>
    <t>Ilość wind</t>
  </si>
  <si>
    <t>iw</t>
  </si>
  <si>
    <t>powierzchnia całkowita (bez  balkonów i loggi)</t>
  </si>
  <si>
    <t xml:space="preserve">Pc </t>
  </si>
  <si>
    <t>powierzchnia całkowita balkonów i loggi</t>
  </si>
  <si>
    <t>powierzchnia całkowita (z uwzględnieniem balkonów i loggii)</t>
  </si>
  <si>
    <t>Pcb</t>
  </si>
  <si>
    <t>powierzchnia całkowita nadziemia (bez  balkonów i loggi)</t>
  </si>
  <si>
    <t>Pcn</t>
  </si>
  <si>
    <t>powierzchnia całkowita nadziemia (z uwzględnieniem balkonów i loggii)</t>
  </si>
  <si>
    <t>Pcnb</t>
  </si>
  <si>
    <t>powierzchnia całkowita części podziemnej (garażu)</t>
  </si>
  <si>
    <t>Pcg</t>
  </si>
  <si>
    <t>powierzchnia elewacji</t>
  </si>
  <si>
    <t>Pe</t>
  </si>
  <si>
    <t>wskaźnik (PUM + PUU) / Pcn</t>
  </si>
  <si>
    <t>wskaźnik (PUM + PUU) / Pcnb</t>
  </si>
  <si>
    <t>wskaźnik (PUM + PUU) / Pc</t>
  </si>
  <si>
    <t>wskaźnik (PUM + PUU) / Pcb</t>
  </si>
  <si>
    <t>wskaźnik Pcg / impg</t>
  </si>
  <si>
    <t>wskaźnik (PUM + PUU) / Pd</t>
  </si>
  <si>
    <t>wskaźnik (PUM + PUU) /klatkę schodową</t>
  </si>
  <si>
    <t>wskaźnik il.m./ iw</t>
  </si>
  <si>
    <t>wskaźnik Pc/Pcg</t>
  </si>
  <si>
    <t>wskaźnik il.m./iks</t>
  </si>
  <si>
    <t>wskaźnik Pe/(PUM+PUU)</t>
  </si>
  <si>
    <t>Przez powierzchnie użytkową lokalu należy rozumieć powierzchnię wszystkich pomieszczeń znajdujących się w lokalu. Obmiar powierzchni dokonuje się w świetle wyprawionych ścian.</t>
  </si>
  <si>
    <t>h. garaz</t>
  </si>
  <si>
    <t>3 i 4</t>
  </si>
  <si>
    <t>15,10 i 17,99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</si>
</sst>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"/>
  </numFmts>
  <fonts count="12" x14ac:knownFonts="1">
    <font>
      <sz val="11"/>
      <color rgb="FF000000"/>
      <name val="Calibri"/>
      <family val="2"/>
      <charset val="238"/>
    </font>
    <font>
      <b/>
      <sz val="14"/>
      <color rgb="FF000000"/>
      <name val="Calibri"/>
      <family val="2"/>
      <charset val="238"/>
    </font>
    <font>
      <b/>
      <sz val="11"/>
      <color rgb="FF000000"/>
      <name val="Calibri"/>
      <family val="2"/>
      <charset val="238"/>
    </font>
    <font>
      <b/>
      <sz val="11"/>
      <color rgb="FFFF0000"/>
      <name val="Calibri"/>
      <family val="2"/>
      <charset val="238"/>
    </font>
    <font>
      <i/>
      <sz val="11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sz val="11"/>
      <color rgb="FF000000"/>
      <name val="Calibri"/>
      <family val="2"/>
      <charset val="238"/>
    </font>
    <font>
      <sz val="36"/>
      <color theme="0" tint="-4.9989318521683403E-2"/>
      <name val="Calibri"/>
      <family val="2"/>
      <charset val="238"/>
    </font>
    <font>
      <sz val="36"/>
      <color rgb="FFFFFF00"/>
      <name val="Calibri"/>
      <family val="2"/>
      <charset val="238"/>
    </font>
    <font>
      <sz val="11"/>
      <color rgb="FF00B050"/>
      <name val="Calibri"/>
      <family val="2"/>
      <charset val="238"/>
    </font>
    <font>
      <sz val="11"/>
      <color theme="5" tint="-0.249977111117893"/>
      <name val="Calibri"/>
      <family val="2"/>
      <charset val="238"/>
    </font>
    <font>
      <sz val="11"/>
      <color theme="3" tint="0.499984740745262"/>
      <name val="Calibri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rgb="FFD6DCE5"/>
        <bgColor rgb="FFD9D9D9"/>
      </patternFill>
    </fill>
    <fill>
      <patternFill patternType="solid">
        <fgColor rgb="FFD9D9D9"/>
        <bgColor rgb="FFD6DCE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9" fontId="2" fillId="0" borderId="1" xfId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 wrapText="1"/>
    </xf>
    <xf numFmtId="4" fontId="0" fillId="3" borderId="1" xfId="0" applyNumberForma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3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4" fontId="2" fillId="0" borderId="1" xfId="0" applyNumberFormat="1" applyFont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3" borderId="1" xfId="0" applyNumberFormat="1" applyFill="1" applyBorder="1" applyAlignment="1">
      <alignment vertical="center"/>
    </xf>
    <xf numFmtId="9" fontId="2" fillId="0" borderId="1" xfId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0" fontId="7" fillId="4" borderId="0" xfId="0" applyFont="1" applyFill="1"/>
    <xf numFmtId="0" fontId="7" fillId="5" borderId="0" xfId="0" applyFont="1" applyFill="1"/>
    <xf numFmtId="0" fontId="8" fillId="6" borderId="0" xfId="0" applyFont="1" applyFill="1"/>
    <xf numFmtId="4" fontId="0" fillId="7" borderId="1" xfId="0" applyNumberFormat="1" applyFill="1" applyBorder="1" applyAlignment="1">
      <alignment horizontal="center" vertical="center"/>
    </xf>
    <xf numFmtId="4" fontId="9" fillId="0" borderId="0" xfId="0" applyNumberFormat="1" applyFont="1"/>
    <xf numFmtId="4" fontId="10" fillId="0" borderId="0" xfId="0" applyNumberFormat="1" applyFont="1"/>
    <xf numFmtId="4" fontId="11" fillId="0" borderId="0" xfId="0" applyNumberFormat="1" applyFont="1"/>
    <xf numFmtId="0" fontId="9" fillId="7" borderId="0" xfId="0" applyFont="1" applyFill="1"/>
    <xf numFmtId="0" fontId="0" fillId="7" borderId="0" xfId="0" applyFill="1"/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</cellXfs>
  <cellStyles count="2">
    <cellStyle name="Normalny" xfId="0" builtinId="0"/>
    <cellStyle name="Procentowy" xfId="1" builtinId="5"/>
  </cellStyles>
  <dxfs count="13"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67"/>
  <sheetViews>
    <sheetView topLeftCell="A15" zoomScale="70" zoomScaleNormal="70" zoomScaleSheetLayoutView="130" zoomScalePageLayoutView="120" workbookViewId="0">
      <selection activeCell="F56" sqref="F56"/>
    </sheetView>
  </sheetViews>
  <sheetFormatPr defaultRowHeight="15" x14ac:dyDescent="0.25"/>
  <cols>
    <col min="1" max="1" width="16.42578125" customWidth="1"/>
    <col min="2" max="2" width="51.85546875" style="2" customWidth="1"/>
    <col min="3" max="3" width="10.7109375" style="3" bestFit="1" customWidth="1"/>
    <col min="4" max="4" width="16.85546875" style="23" customWidth="1"/>
    <col min="5" max="5" width="16.85546875" style="3" customWidth="1"/>
    <col min="6" max="6" width="16.85546875" style="23" customWidth="1"/>
    <col min="7" max="7" width="16.85546875" customWidth="1"/>
    <col min="8" max="1025" width="8.5703125" customWidth="1"/>
  </cols>
  <sheetData>
    <row r="2" spans="1:8" ht="27" customHeight="1" x14ac:dyDescent="0.25">
      <c r="A2" s="46" t="s">
        <v>0</v>
      </c>
      <c r="B2" s="46"/>
      <c r="C2" s="46"/>
      <c r="D2" s="46"/>
      <c r="E2" s="46"/>
      <c r="F2" s="46"/>
      <c r="G2" s="46"/>
    </row>
    <row r="3" spans="1:8" ht="43.35" customHeight="1" x14ac:dyDescent="0.7">
      <c r="A3" s="47" t="s">
        <v>1</v>
      </c>
      <c r="B3" s="47"/>
      <c r="C3" s="4" t="s">
        <v>2</v>
      </c>
      <c r="D3" s="24" t="s">
        <v>3</v>
      </c>
      <c r="E3" s="4" t="s">
        <v>4</v>
      </c>
      <c r="F3" s="18" t="s">
        <v>5</v>
      </c>
      <c r="G3" s="1" t="s">
        <v>6</v>
      </c>
      <c r="H3" s="33">
        <v>4</v>
      </c>
    </row>
    <row r="4" spans="1:8" ht="15" customHeight="1" x14ac:dyDescent="0.25">
      <c r="A4" s="44" t="s">
        <v>7</v>
      </c>
      <c r="B4" s="44" t="s">
        <v>8</v>
      </c>
      <c r="C4" s="5" t="s">
        <v>9</v>
      </c>
      <c r="D4" s="31"/>
      <c r="E4" s="31"/>
      <c r="F4" s="32">
        <v>15390</v>
      </c>
      <c r="G4" s="1"/>
    </row>
    <row r="5" spans="1:8" ht="15" customHeight="1" x14ac:dyDescent="0.25">
      <c r="A5" s="44" t="s">
        <v>10</v>
      </c>
      <c r="B5" s="44"/>
      <c r="C5" s="5"/>
      <c r="D5" s="17"/>
      <c r="E5" s="17"/>
      <c r="F5" s="29">
        <f>(682+788+810)/F4</f>
        <v>0.14814814814814814</v>
      </c>
      <c r="G5" s="1"/>
    </row>
    <row r="6" spans="1:8" ht="15" customHeight="1" x14ac:dyDescent="0.25">
      <c r="A6" s="44" t="s">
        <v>11</v>
      </c>
      <c r="B6" s="44"/>
      <c r="C6" s="5"/>
      <c r="D6" s="24"/>
      <c r="E6" s="4"/>
      <c r="F6" s="18">
        <f>F7+F8</f>
        <v>4711.5</v>
      </c>
      <c r="G6" s="1"/>
    </row>
    <row r="7" spans="1:8" ht="15" customHeight="1" x14ac:dyDescent="0.25">
      <c r="A7" s="43" t="s">
        <v>12</v>
      </c>
      <c r="B7" s="43"/>
      <c r="C7" s="5"/>
      <c r="D7" s="24"/>
      <c r="E7" s="4"/>
      <c r="F7" s="18">
        <v>871.7</v>
      </c>
      <c r="G7" s="1"/>
    </row>
    <row r="8" spans="1:8" ht="15" customHeight="1" x14ac:dyDescent="0.25">
      <c r="A8" s="43" t="s">
        <v>13</v>
      </c>
      <c r="B8" s="43"/>
      <c r="C8" s="5"/>
      <c r="D8" s="30"/>
      <c r="E8" s="4"/>
      <c r="F8" s="18">
        <v>3839.8</v>
      </c>
      <c r="G8" s="1"/>
    </row>
    <row r="9" spans="1:8" ht="15" customHeight="1" x14ac:dyDescent="0.25">
      <c r="A9" s="44" t="s">
        <v>14</v>
      </c>
      <c r="B9" s="44"/>
      <c r="C9" s="5"/>
      <c r="D9" s="24"/>
      <c r="E9" s="4"/>
      <c r="F9" s="18">
        <f>F10+F11+F12</f>
        <v>6844</v>
      </c>
      <c r="G9" s="1"/>
    </row>
    <row r="10" spans="1:8" ht="15" customHeight="1" x14ac:dyDescent="0.25">
      <c r="A10" s="43" t="s">
        <v>15</v>
      </c>
      <c r="B10" s="43"/>
      <c r="C10" s="5"/>
      <c r="D10" s="24"/>
      <c r="E10" s="4"/>
      <c r="F10" s="18">
        <v>3834</v>
      </c>
      <c r="G10" s="1"/>
    </row>
    <row r="11" spans="1:8" ht="15" customHeight="1" x14ac:dyDescent="0.25">
      <c r="A11" s="43" t="s">
        <v>16</v>
      </c>
      <c r="B11" s="43"/>
      <c r="C11" s="5"/>
      <c r="D11" s="24"/>
      <c r="E11" s="4"/>
      <c r="F11" s="18">
        <v>1210</v>
      </c>
      <c r="G11" s="1"/>
    </row>
    <row r="12" spans="1:8" ht="15" customHeight="1" x14ac:dyDescent="0.25">
      <c r="A12" s="43" t="s">
        <v>17</v>
      </c>
      <c r="B12" s="43"/>
      <c r="C12" s="5"/>
      <c r="D12" s="24"/>
      <c r="E12" s="4"/>
      <c r="F12" s="18">
        <v>1800</v>
      </c>
      <c r="G12" s="1"/>
    </row>
    <row r="13" spans="1:8" ht="15" customHeight="1" x14ac:dyDescent="0.25">
      <c r="A13" s="44" t="s">
        <v>18</v>
      </c>
      <c r="B13" s="44"/>
      <c r="C13" s="5"/>
      <c r="D13" s="17"/>
      <c r="E13" s="17"/>
      <c r="F13" s="29">
        <f>(F10+0.5*(F11+F12))/F4</f>
        <v>0.3469135802469136</v>
      </c>
      <c r="G13" s="1"/>
    </row>
    <row r="14" spans="1:8" ht="15" customHeight="1" x14ac:dyDescent="0.25">
      <c r="A14" s="42" t="s">
        <v>19</v>
      </c>
      <c r="B14" s="42"/>
      <c r="C14" s="6" t="s">
        <v>20</v>
      </c>
      <c r="D14" s="19">
        <f>D17+D20</f>
        <v>0</v>
      </c>
      <c r="E14" s="6"/>
      <c r="F14" s="19">
        <f>F17+F20</f>
        <v>8682.4600000000009</v>
      </c>
      <c r="G14" s="7"/>
    </row>
    <row r="15" spans="1:8" ht="15" customHeight="1" x14ac:dyDescent="0.25">
      <c r="A15" s="42" t="s">
        <v>21</v>
      </c>
      <c r="B15" s="42"/>
      <c r="C15" s="6" t="s">
        <v>22</v>
      </c>
      <c r="D15" s="25">
        <f>D16+D19</f>
        <v>0</v>
      </c>
      <c r="E15" s="25"/>
      <c r="F15" s="25">
        <f>F16+F19</f>
        <v>162</v>
      </c>
      <c r="G15" s="7"/>
    </row>
    <row r="16" spans="1:8" ht="15" customHeight="1" x14ac:dyDescent="0.25">
      <c r="A16" s="43" t="s">
        <v>23</v>
      </c>
      <c r="B16" s="43" t="s">
        <v>8</v>
      </c>
      <c r="C16" s="5" t="s">
        <v>24</v>
      </c>
      <c r="D16" s="27"/>
      <c r="E16" s="27"/>
      <c r="F16" s="27">
        <v>160</v>
      </c>
      <c r="G16" s="8"/>
    </row>
    <row r="17" spans="1:10" ht="15" customHeight="1" x14ac:dyDescent="0.25">
      <c r="A17" s="43" t="s">
        <v>25</v>
      </c>
      <c r="B17" s="43" t="s">
        <v>26</v>
      </c>
      <c r="C17" s="5" t="s">
        <v>27</v>
      </c>
      <c r="D17" s="20"/>
      <c r="E17" s="5"/>
      <c r="F17" s="20">
        <v>8619.19</v>
      </c>
      <c r="G17" s="8"/>
    </row>
    <row r="18" spans="1:10" ht="15" customHeight="1" x14ac:dyDescent="0.25">
      <c r="A18" s="45" t="s">
        <v>28</v>
      </c>
      <c r="B18" s="45" t="s">
        <v>29</v>
      </c>
      <c r="C18" s="6" t="s">
        <v>30</v>
      </c>
      <c r="D18" s="19" t="str">
        <f>IFERROR(D17/D16,"Brak danych")</f>
        <v>Brak danych</v>
      </c>
      <c r="E18" s="6"/>
      <c r="F18" s="19">
        <f>IFERROR(F17/F16,"Brak danych")</f>
        <v>53.869937500000006</v>
      </c>
      <c r="G18" s="9"/>
    </row>
    <row r="19" spans="1:10" ht="15" customHeight="1" x14ac:dyDescent="0.25">
      <c r="A19" s="43" t="s">
        <v>31</v>
      </c>
      <c r="B19" s="43" t="s">
        <v>32</v>
      </c>
      <c r="C19" s="5" t="s">
        <v>33</v>
      </c>
      <c r="D19" s="27"/>
      <c r="E19" s="27"/>
      <c r="F19" s="27">
        <v>2</v>
      </c>
      <c r="G19" s="8"/>
    </row>
    <row r="20" spans="1:10" ht="15" customHeight="1" x14ac:dyDescent="0.25">
      <c r="A20" s="43" t="s">
        <v>34</v>
      </c>
      <c r="B20" s="43" t="s">
        <v>35</v>
      </c>
      <c r="C20" s="5" t="s">
        <v>36</v>
      </c>
      <c r="D20" s="27"/>
      <c r="E20" s="27"/>
      <c r="F20" s="27">
        <v>63.27</v>
      </c>
      <c r="G20" s="8"/>
    </row>
    <row r="21" spans="1:10" ht="15" customHeight="1" x14ac:dyDescent="0.25">
      <c r="A21" s="44" t="s">
        <v>37</v>
      </c>
      <c r="B21" s="44" t="s">
        <v>38</v>
      </c>
      <c r="C21" s="5"/>
      <c r="D21" s="20"/>
      <c r="E21" s="5"/>
      <c r="F21" s="20">
        <v>1071.01</v>
      </c>
      <c r="G21" s="5"/>
    </row>
    <row r="22" spans="1:10" ht="45" customHeight="1" x14ac:dyDescent="0.25">
      <c r="A22" s="43" t="s">
        <v>39</v>
      </c>
      <c r="B22" s="43" t="s">
        <v>38</v>
      </c>
      <c r="C22" s="5"/>
      <c r="D22" s="20"/>
      <c r="E22" s="5"/>
      <c r="F22" s="20">
        <v>390.99</v>
      </c>
      <c r="G22" s="5"/>
      <c r="I22" t="s">
        <v>94</v>
      </c>
      <c r="J22">
        <v>2539.34</v>
      </c>
    </row>
    <row r="23" spans="1:10" ht="15" customHeight="1" x14ac:dyDescent="0.25">
      <c r="A23" s="42" t="s">
        <v>40</v>
      </c>
      <c r="B23" s="42"/>
      <c r="C23" s="6" t="s">
        <v>41</v>
      </c>
      <c r="D23" s="25">
        <f>D26+D27</f>
        <v>0</v>
      </c>
      <c r="E23" s="25"/>
      <c r="F23" s="25">
        <f>F26+F27</f>
        <v>196</v>
      </c>
      <c r="G23" s="7"/>
    </row>
    <row r="24" spans="1:10" ht="15" customHeight="1" x14ac:dyDescent="0.25">
      <c r="A24" s="44" t="s">
        <v>42</v>
      </c>
      <c r="B24" s="44"/>
      <c r="C24" s="5"/>
      <c r="D24" s="27"/>
      <c r="E24" s="27"/>
      <c r="F24" s="27">
        <v>193</v>
      </c>
      <c r="G24" s="10"/>
    </row>
    <row r="25" spans="1:10" ht="15" customHeight="1" x14ac:dyDescent="0.25">
      <c r="A25" s="43" t="s">
        <v>43</v>
      </c>
      <c r="B25" s="43" t="s">
        <v>38</v>
      </c>
      <c r="C25" s="5"/>
      <c r="D25" s="27"/>
      <c r="E25" s="27"/>
      <c r="F25" s="27">
        <v>86</v>
      </c>
      <c r="G25" s="8"/>
    </row>
    <row r="26" spans="1:10" ht="15" customHeight="1" x14ac:dyDescent="0.25">
      <c r="A26" s="43" t="s">
        <v>44</v>
      </c>
      <c r="B26" s="43" t="s">
        <v>38</v>
      </c>
      <c r="C26" s="5" t="s">
        <v>45</v>
      </c>
      <c r="D26" s="27"/>
      <c r="E26" s="27"/>
      <c r="F26" s="27">
        <v>91</v>
      </c>
      <c r="G26" s="8"/>
    </row>
    <row r="27" spans="1:10" ht="15" customHeight="1" x14ac:dyDescent="0.25">
      <c r="A27" s="43" t="s">
        <v>46</v>
      </c>
      <c r="B27" s="43"/>
      <c r="C27" s="5" t="s">
        <v>47</v>
      </c>
      <c r="D27" s="27"/>
      <c r="E27" s="27"/>
      <c r="F27" s="27">
        <v>105</v>
      </c>
      <c r="G27" s="8"/>
    </row>
    <row r="28" spans="1:10" ht="15" customHeight="1" x14ac:dyDescent="0.25">
      <c r="A28" s="43" t="s">
        <v>48</v>
      </c>
      <c r="B28" s="43"/>
      <c r="C28" s="5"/>
      <c r="D28" s="27"/>
      <c r="E28" s="27"/>
      <c r="F28" s="27">
        <v>0</v>
      </c>
      <c r="G28" s="8"/>
    </row>
    <row r="29" spans="1:10" ht="15" customHeight="1" x14ac:dyDescent="0.25">
      <c r="A29" s="43" t="s">
        <v>49</v>
      </c>
      <c r="B29" s="43"/>
      <c r="C29" s="5"/>
      <c r="D29" s="27"/>
      <c r="E29" s="5"/>
      <c r="F29" s="26">
        <f>F27*12.5+5.5</f>
        <v>1318</v>
      </c>
      <c r="G29" s="8"/>
    </row>
    <row r="30" spans="1:10" s="11" customFormat="1" ht="15" customHeight="1" x14ac:dyDescent="0.25">
      <c r="A30" s="42" t="s">
        <v>50</v>
      </c>
      <c r="B30" s="42"/>
      <c r="C30" s="6" t="s">
        <v>51</v>
      </c>
      <c r="D30" s="25">
        <f>D31+D36</f>
        <v>0</v>
      </c>
      <c r="E30" s="28"/>
      <c r="F30" s="25">
        <f>F31+F36</f>
        <v>89</v>
      </c>
      <c r="G30" s="7"/>
    </row>
    <row r="31" spans="1:10" ht="15" customHeight="1" x14ac:dyDescent="0.25">
      <c r="A31" s="43" t="s">
        <v>52</v>
      </c>
      <c r="B31" s="43"/>
      <c r="C31" s="5" t="s">
        <v>53</v>
      </c>
      <c r="D31" s="27"/>
      <c r="E31" s="27"/>
      <c r="F31" s="27">
        <f>F32+F33</f>
        <v>89</v>
      </c>
      <c r="G31" s="8"/>
    </row>
    <row r="32" spans="1:10" ht="15" customHeight="1" x14ac:dyDescent="0.25">
      <c r="A32" s="43" t="s">
        <v>54</v>
      </c>
      <c r="B32" s="43"/>
      <c r="C32" s="5"/>
      <c r="D32" s="27"/>
      <c r="E32" s="27"/>
      <c r="F32" s="27">
        <v>79</v>
      </c>
      <c r="G32" s="8"/>
    </row>
    <row r="33" spans="1:7" ht="15" customHeight="1" x14ac:dyDescent="0.25">
      <c r="A33" s="43" t="s">
        <v>55</v>
      </c>
      <c r="B33" s="43"/>
      <c r="C33" s="5"/>
      <c r="D33" s="27"/>
      <c r="E33" s="27"/>
      <c r="F33" s="27">
        <v>10</v>
      </c>
      <c r="G33" s="8"/>
    </row>
    <row r="34" spans="1:7" ht="15" customHeight="1" x14ac:dyDescent="0.25">
      <c r="A34" s="43" t="s">
        <v>56</v>
      </c>
      <c r="B34" s="43"/>
      <c r="C34" s="5"/>
      <c r="D34" s="20"/>
      <c r="E34" s="5"/>
      <c r="F34" s="20">
        <f>173.37+19.97</f>
        <v>193.34</v>
      </c>
      <c r="G34" s="8"/>
    </row>
    <row r="35" spans="1:7" ht="15" customHeight="1" x14ac:dyDescent="0.25">
      <c r="A35" s="43" t="s">
        <v>57</v>
      </c>
      <c r="B35" s="43"/>
      <c r="C35" s="5"/>
      <c r="D35" s="20"/>
      <c r="E35" s="5"/>
      <c r="F35" s="20">
        <v>1770.13</v>
      </c>
      <c r="G35" s="8"/>
    </row>
    <row r="36" spans="1:7" ht="15" customHeight="1" x14ac:dyDescent="0.25">
      <c r="A36" s="43" t="s">
        <v>58</v>
      </c>
      <c r="B36" s="43"/>
      <c r="C36" s="5" t="s">
        <v>59</v>
      </c>
      <c r="D36" s="27"/>
      <c r="E36" s="27"/>
      <c r="F36" s="27">
        <v>0</v>
      </c>
      <c r="G36" s="8"/>
    </row>
    <row r="37" spans="1:7" ht="15" customHeight="1" x14ac:dyDescent="0.25">
      <c r="A37" s="44" t="s">
        <v>60</v>
      </c>
      <c r="B37" s="44"/>
      <c r="C37" s="5" t="s">
        <v>61</v>
      </c>
      <c r="D37" s="27"/>
      <c r="E37" s="27"/>
      <c r="F37" s="27">
        <v>3</v>
      </c>
      <c r="G37" s="8"/>
    </row>
    <row r="38" spans="1:7" ht="15" customHeight="1" x14ac:dyDescent="0.25">
      <c r="A38" s="43" t="s">
        <v>62</v>
      </c>
      <c r="B38" s="43"/>
      <c r="C38" s="5"/>
      <c r="D38" s="27"/>
      <c r="E38" s="27"/>
      <c r="F38" s="27" t="s">
        <v>96</v>
      </c>
      <c r="G38" s="8"/>
    </row>
    <row r="39" spans="1:7" ht="15" customHeight="1" x14ac:dyDescent="0.25">
      <c r="A39" s="43" t="s">
        <v>63</v>
      </c>
      <c r="B39" s="43"/>
      <c r="C39" s="5"/>
      <c r="D39" s="27"/>
      <c r="E39" s="27"/>
      <c r="F39" s="27">
        <v>258</v>
      </c>
      <c r="G39" s="8"/>
    </row>
    <row r="40" spans="1:7" ht="15" customHeight="1" x14ac:dyDescent="0.25">
      <c r="A40" s="43" t="s">
        <v>64</v>
      </c>
      <c r="B40" s="43"/>
      <c r="C40" s="5"/>
      <c r="D40" s="27"/>
      <c r="E40" s="27"/>
      <c r="F40" s="27">
        <v>258</v>
      </c>
      <c r="G40" s="8"/>
    </row>
    <row r="41" spans="1:7" ht="15" customHeight="1" x14ac:dyDescent="0.25">
      <c r="A41" s="43" t="s">
        <v>65</v>
      </c>
      <c r="B41" s="43"/>
      <c r="C41" s="5"/>
      <c r="D41" s="27"/>
      <c r="E41" s="27"/>
      <c r="F41" s="27" t="s">
        <v>95</v>
      </c>
      <c r="G41" s="8"/>
    </row>
    <row r="42" spans="1:7" ht="15" customHeight="1" x14ac:dyDescent="0.25">
      <c r="A42" s="43" t="s">
        <v>66</v>
      </c>
      <c r="B42" s="43"/>
      <c r="C42" s="5"/>
      <c r="D42" s="27"/>
      <c r="E42" s="27"/>
      <c r="F42" s="27">
        <v>1</v>
      </c>
      <c r="G42" s="8"/>
    </row>
    <row r="43" spans="1:7" ht="15" customHeight="1" x14ac:dyDescent="0.25">
      <c r="A43" s="43" t="s">
        <v>67</v>
      </c>
      <c r="B43" s="43"/>
      <c r="C43" s="5" t="s">
        <v>68</v>
      </c>
      <c r="D43" s="27"/>
      <c r="E43" s="27"/>
      <c r="F43" s="27">
        <v>3</v>
      </c>
      <c r="G43" s="8"/>
    </row>
    <row r="44" spans="1:7" ht="15" customHeight="1" x14ac:dyDescent="0.25">
      <c r="A44" s="42" t="s">
        <v>69</v>
      </c>
      <c r="B44" s="42"/>
      <c r="C44" s="5" t="s">
        <v>70</v>
      </c>
      <c r="D44" s="20"/>
      <c r="E44" s="5"/>
      <c r="F44" s="36">
        <f>F47+F49</f>
        <v>12794.830000000002</v>
      </c>
      <c r="G44" s="8"/>
    </row>
    <row r="45" spans="1:7" ht="15" customHeight="1" x14ac:dyDescent="0.25">
      <c r="A45" s="43" t="s">
        <v>71</v>
      </c>
      <c r="B45" s="43"/>
      <c r="C45" s="5"/>
      <c r="D45" s="20"/>
      <c r="E45" s="5"/>
      <c r="F45" s="20">
        <v>1144.76</v>
      </c>
      <c r="G45" s="8"/>
    </row>
    <row r="46" spans="1:7" ht="15" customHeight="1" x14ac:dyDescent="0.25">
      <c r="A46" s="42" t="s">
        <v>72</v>
      </c>
      <c r="B46" s="42"/>
      <c r="C46" s="5" t="s">
        <v>73</v>
      </c>
      <c r="D46" s="20">
        <f>D45+D44</f>
        <v>0</v>
      </c>
      <c r="E46" s="5"/>
      <c r="F46" s="20">
        <f>F45+F44</f>
        <v>13939.590000000002</v>
      </c>
      <c r="G46" s="8"/>
    </row>
    <row r="47" spans="1:7" ht="15" customHeight="1" x14ac:dyDescent="0.25">
      <c r="A47" s="42" t="s">
        <v>74</v>
      </c>
      <c r="B47" s="42"/>
      <c r="C47" s="5" t="s">
        <v>75</v>
      </c>
      <c r="D47" s="20"/>
      <c r="E47" s="5"/>
      <c r="F47" s="20">
        <f>F17+F21</f>
        <v>9690.2000000000007</v>
      </c>
      <c r="G47" s="8"/>
    </row>
    <row r="48" spans="1:7" ht="15" customHeight="1" x14ac:dyDescent="0.25">
      <c r="A48" s="42" t="s">
        <v>76</v>
      </c>
      <c r="B48" s="42"/>
      <c r="C48" s="5" t="s">
        <v>77</v>
      </c>
      <c r="D48" s="20">
        <f>D47+D45</f>
        <v>0</v>
      </c>
      <c r="E48" s="5"/>
      <c r="F48" s="20">
        <f>F47+F45</f>
        <v>10834.960000000001</v>
      </c>
      <c r="G48" s="8"/>
    </row>
    <row r="49" spans="1:7" ht="15" customHeight="1" x14ac:dyDescent="0.25">
      <c r="A49" s="42" t="s">
        <v>78</v>
      </c>
      <c r="B49" s="42"/>
      <c r="C49" s="6" t="s">
        <v>79</v>
      </c>
      <c r="D49" s="19"/>
      <c r="E49" s="6"/>
      <c r="F49" s="19">
        <v>3104.63</v>
      </c>
      <c r="G49" s="7"/>
    </row>
    <row r="50" spans="1:7" ht="15" customHeight="1" x14ac:dyDescent="0.25">
      <c r="A50" s="43" t="s">
        <v>80</v>
      </c>
      <c r="B50" s="43"/>
      <c r="C50" s="5" t="s">
        <v>81</v>
      </c>
      <c r="D50" s="20"/>
      <c r="E50" s="5"/>
      <c r="F50" s="20">
        <v>4360.7699999999995</v>
      </c>
      <c r="G50" s="10"/>
    </row>
    <row r="51" spans="1:7" ht="15" customHeight="1" x14ac:dyDescent="0.25">
      <c r="A51" s="42" t="s">
        <v>82</v>
      </c>
      <c r="B51" s="42"/>
      <c r="C51" s="6"/>
      <c r="D51" s="19" t="str">
        <f>IFERROR(D14/D47,"Brak danych")</f>
        <v>Brak danych</v>
      </c>
      <c r="E51" s="6"/>
      <c r="F51" s="19">
        <f>IFERROR(F14/F47,"Brak danych")</f>
        <v>0.89600421043941303</v>
      </c>
      <c r="G51" s="9"/>
    </row>
    <row r="52" spans="1:7" ht="15" customHeight="1" x14ac:dyDescent="0.25">
      <c r="A52" s="42" t="s">
        <v>83</v>
      </c>
      <c r="B52" s="42"/>
      <c r="C52" s="6"/>
      <c r="D52" s="19" t="str">
        <f>IFERROR(D14/D48,"Brak danych")</f>
        <v>Brak danych</v>
      </c>
      <c r="E52" s="6"/>
      <c r="F52" s="19">
        <f>IFERROR(F14/F48,"Brak danych")</f>
        <v>0.80133752224281407</v>
      </c>
      <c r="G52" s="9"/>
    </row>
    <row r="53" spans="1:7" ht="15" customHeight="1" x14ac:dyDescent="0.25">
      <c r="A53" s="42" t="s">
        <v>84</v>
      </c>
      <c r="B53" s="42"/>
      <c r="C53" s="6"/>
      <c r="D53" s="19" t="str">
        <f>IFERROR(D14/D44,"Brak danych")</f>
        <v>Brak danych</v>
      </c>
      <c r="E53" s="6"/>
      <c r="F53" s="19">
        <f>IFERROR(F14/F44,"Brak danych")</f>
        <v>0.67859127475706982</v>
      </c>
      <c r="G53" s="9"/>
    </row>
    <row r="54" spans="1:7" ht="15" customHeight="1" x14ac:dyDescent="0.25">
      <c r="A54" s="42" t="s">
        <v>85</v>
      </c>
      <c r="B54" s="42"/>
      <c r="C54" s="6"/>
      <c r="D54" s="19" t="str">
        <f>IFERROR(D14/D46,"Brak danych")</f>
        <v>Brak danych</v>
      </c>
      <c r="E54" s="6"/>
      <c r="F54" s="19">
        <f>IFERROR(F14/F46,"Brak danych")</f>
        <v>0.62286336972608236</v>
      </c>
      <c r="G54" s="9"/>
    </row>
    <row r="55" spans="1:7" ht="15" customHeight="1" x14ac:dyDescent="0.25">
      <c r="A55" s="42" t="s">
        <v>86</v>
      </c>
      <c r="B55" s="42"/>
      <c r="C55" s="6"/>
      <c r="D55" s="19" t="str">
        <f>IFERROR(D49/D27,"Brak danych")</f>
        <v>Brak danych</v>
      </c>
      <c r="E55" s="6"/>
      <c r="F55" s="19">
        <f>IFERROR(F49/F27,"Brak danych")</f>
        <v>29.567904761904764</v>
      </c>
      <c r="G55" s="9"/>
    </row>
    <row r="56" spans="1:7" ht="15" customHeight="1" x14ac:dyDescent="0.25">
      <c r="A56" s="42" t="s">
        <v>87</v>
      </c>
      <c r="B56" s="42"/>
      <c r="C56" s="6"/>
      <c r="D56" s="19" t="str">
        <f>IFERROR(D14/D4,"Brak danych")</f>
        <v>Brak danych</v>
      </c>
      <c r="E56" s="6"/>
      <c r="F56" s="19">
        <f>IFERROR(F14/F4,"Brak danych")</f>
        <v>0.56416244314489938</v>
      </c>
      <c r="G56" s="9"/>
    </row>
    <row r="57" spans="1:7" ht="15" customHeight="1" x14ac:dyDescent="0.25">
      <c r="A57" s="42" t="s">
        <v>88</v>
      </c>
      <c r="B57" s="42"/>
      <c r="C57" s="6"/>
      <c r="D57" s="19" t="str">
        <f>IFERROR(D14/D37,"Brak danych")</f>
        <v>Brak danych</v>
      </c>
      <c r="E57" s="6"/>
      <c r="F57" s="19">
        <f>IFERROR(F14/F37,"Brak danych")</f>
        <v>2894.1533333333336</v>
      </c>
      <c r="G57" s="9"/>
    </row>
    <row r="58" spans="1:7" ht="15" customHeight="1" x14ac:dyDescent="0.25">
      <c r="A58" s="42" t="s">
        <v>86</v>
      </c>
      <c r="B58" s="42"/>
      <c r="C58" s="6"/>
      <c r="D58" s="19" t="str">
        <f>IFERROR(D49/D27,"Brak danych")</f>
        <v>Brak danych</v>
      </c>
      <c r="E58" s="6"/>
      <c r="F58" s="19">
        <f>IFERROR(F49/F27,"Brak danych")</f>
        <v>29.567904761904764</v>
      </c>
      <c r="G58" s="9"/>
    </row>
    <row r="59" spans="1:7" ht="15" customHeight="1" x14ac:dyDescent="0.25">
      <c r="A59" s="42" t="s">
        <v>89</v>
      </c>
      <c r="B59" s="42"/>
      <c r="C59" s="6"/>
      <c r="D59" s="19" t="str">
        <f>IFERROR(D16/D43,"Brak danych")</f>
        <v>Brak danych</v>
      </c>
      <c r="E59" s="6"/>
      <c r="F59" s="19">
        <f>IFERROR(F16/F43,"Brak danych")</f>
        <v>53.333333333333336</v>
      </c>
      <c r="G59" s="9"/>
    </row>
    <row r="60" spans="1:7" ht="15" customHeight="1" x14ac:dyDescent="0.25">
      <c r="A60" s="42" t="s">
        <v>90</v>
      </c>
      <c r="B60" s="42"/>
      <c r="C60" s="6"/>
      <c r="D60" s="19" t="str">
        <f>IFERROR(D44/D49,"Brak danych")</f>
        <v>Brak danych</v>
      </c>
      <c r="E60" s="6"/>
      <c r="F60" s="19">
        <f>IFERROR(F44/F49,"Brak danych")</f>
        <v>4.1212092906401088</v>
      </c>
      <c r="G60" s="9"/>
    </row>
    <row r="61" spans="1:7" ht="15" customHeight="1" x14ac:dyDescent="0.25">
      <c r="A61" s="42" t="s">
        <v>91</v>
      </c>
      <c r="B61" s="42"/>
      <c r="C61" s="6"/>
      <c r="D61" s="25" t="str">
        <f>IFERROR(D16/D37,"Brak danych")</f>
        <v>Brak danych</v>
      </c>
      <c r="E61" s="6"/>
      <c r="F61" s="25">
        <f>IFERROR(F16/F37,"Brak danych")</f>
        <v>53.333333333333336</v>
      </c>
      <c r="G61" s="9"/>
    </row>
    <row r="62" spans="1:7" ht="15" customHeight="1" x14ac:dyDescent="0.25">
      <c r="A62" s="42" t="s">
        <v>92</v>
      </c>
      <c r="B62" s="42"/>
      <c r="C62" s="6"/>
      <c r="D62" s="19" t="str">
        <f>IFERROR(D50/D14,"Brak danych")</f>
        <v>Brak danych</v>
      </c>
      <c r="E62" s="6"/>
      <c r="F62" s="19">
        <f>IFERROR(F50/F14,"Brak danych")</f>
        <v>0.50225051425517642</v>
      </c>
      <c r="G62" s="9"/>
    </row>
    <row r="63" spans="1:7" ht="15" customHeight="1" x14ac:dyDescent="0.25">
      <c r="A63" s="48"/>
      <c r="B63" s="48"/>
      <c r="C63" s="6"/>
      <c r="D63" s="19"/>
      <c r="E63" s="6"/>
      <c r="F63" s="19"/>
      <c r="G63" s="9"/>
    </row>
    <row r="64" spans="1:7" s="12" customFormat="1" x14ac:dyDescent="0.25">
      <c r="B64" s="13"/>
      <c r="C64" s="14"/>
      <c r="D64" s="21"/>
      <c r="E64" s="14"/>
      <c r="F64" s="21"/>
    </row>
    <row r="65" spans="1:7" ht="45" customHeight="1" x14ac:dyDescent="0.25">
      <c r="A65" s="49" t="s">
        <v>93</v>
      </c>
      <c r="B65" s="49"/>
      <c r="C65" s="15"/>
      <c r="D65" s="22"/>
      <c r="E65" s="15"/>
      <c r="F65" s="22"/>
      <c r="G65" s="16"/>
    </row>
    <row r="66" spans="1:7" x14ac:dyDescent="0.25">
      <c r="A66" s="12"/>
    </row>
    <row r="67" spans="1:7" x14ac:dyDescent="0.25">
      <c r="A67" s="12"/>
    </row>
  </sheetData>
  <mergeCells count="63">
    <mergeCell ref="A62:B62"/>
    <mergeCell ref="A63:B63"/>
    <mergeCell ref="A65:B65"/>
    <mergeCell ref="A57:B57"/>
    <mergeCell ref="A58:B58"/>
    <mergeCell ref="A59:B59"/>
    <mergeCell ref="A60:B60"/>
    <mergeCell ref="A61:B61"/>
    <mergeCell ref="A52:B52"/>
    <mergeCell ref="A53:B53"/>
    <mergeCell ref="A54:B54"/>
    <mergeCell ref="A55:B55"/>
    <mergeCell ref="A56:B56"/>
    <mergeCell ref="A47:B47"/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A27:B27"/>
    <mergeCell ref="A28:B28"/>
    <mergeCell ref="A29:B29"/>
    <mergeCell ref="A30:B30"/>
    <mergeCell ref="A31:B31"/>
    <mergeCell ref="A22:B22"/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2:G2"/>
    <mergeCell ref="A3:B3"/>
    <mergeCell ref="A4:B4"/>
    <mergeCell ref="A5:B5"/>
    <mergeCell ref="A6:B6"/>
  </mergeCells>
  <conditionalFormatting sqref="D4:G4 D5:E5 G5 D6:G12 D13:E13 G13 D14:G37 D38:E42 G38:G42 D43:G46 D47:E47 G47 D48:G50">
    <cfRule type="containsBlanks" dxfId="12" priority="5">
      <formula>LEN(TRIM(D4))=0</formula>
    </cfRule>
  </conditionalFormatting>
  <conditionalFormatting sqref="F5">
    <cfRule type="containsBlanks" dxfId="11" priority="3">
      <formula>LEN(TRIM(F5))=0</formula>
    </cfRule>
  </conditionalFormatting>
  <conditionalFormatting sqref="F13">
    <cfRule type="containsBlanks" dxfId="10" priority="4">
      <formula>LEN(TRIM(F13))=0</formula>
    </cfRule>
  </conditionalFormatting>
  <conditionalFormatting sqref="F38:F42">
    <cfRule type="containsBlanks" dxfId="9" priority="2">
      <formula>LEN(TRIM(F38))=0</formula>
    </cfRule>
  </conditionalFormatting>
  <conditionalFormatting sqref="F47">
    <cfRule type="containsBlanks" dxfId="8" priority="1">
      <formula>LEN(TRIM(F47))=0</formula>
    </cfRule>
  </conditionalFormatting>
  <pageMargins left="0.7" right="0.7" top="0.75" bottom="0.75" header="0.51180555555555496" footer="0.51180555555555496"/>
  <pageSetup paperSize="9" scale="59" firstPageNumber="0" orientation="portrait" horizontalDpi="300" verticalDpi="300" r:id="rId1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EC6F7-20A8-4B82-A573-723A2B889889}">
  <dimension ref="A2:J67"/>
  <sheetViews>
    <sheetView tabSelected="1" zoomScale="70" zoomScaleNormal="70" zoomScaleSheetLayoutView="130" zoomScalePageLayoutView="120" workbookViewId="0">
      <selection activeCell="M35" sqref="M35"/>
    </sheetView>
  </sheetViews>
  <sheetFormatPr defaultRowHeight="15" x14ac:dyDescent="0.25"/>
  <cols>
    <col min="1" max="1" width="16.42578125" customWidth="1"/>
    <col min="2" max="2" width="51.85546875" style="2" customWidth="1"/>
    <col min="3" max="3" width="10.7109375" style="3" bestFit="1" customWidth="1"/>
    <col min="4" max="4" width="16.85546875" style="23" customWidth="1"/>
    <col min="5" max="5" width="16.85546875" style="3" customWidth="1"/>
    <col min="6" max="6" width="16.85546875" style="23" customWidth="1"/>
    <col min="7" max="7" width="16.85546875" customWidth="1"/>
    <col min="8" max="1025" width="8.5703125" customWidth="1"/>
  </cols>
  <sheetData>
    <row r="2" spans="1:8" ht="27" customHeight="1" x14ac:dyDescent="0.25">
      <c r="A2" s="46" t="s">
        <v>0</v>
      </c>
      <c r="B2" s="46"/>
      <c r="C2" s="46"/>
      <c r="D2" s="46"/>
      <c r="E2" s="46"/>
      <c r="F2" s="46"/>
      <c r="G2" s="46"/>
    </row>
    <row r="3" spans="1:8" ht="43.35" customHeight="1" x14ac:dyDescent="0.7">
      <c r="A3" s="47" t="s">
        <v>1</v>
      </c>
      <c r="B3" s="47"/>
      <c r="C3" s="4" t="s">
        <v>2</v>
      </c>
      <c r="D3" s="24" t="s">
        <v>3</v>
      </c>
      <c r="E3" s="4" t="s">
        <v>4</v>
      </c>
      <c r="F3" s="18" t="s">
        <v>5</v>
      </c>
      <c r="G3" s="1" t="s">
        <v>6</v>
      </c>
      <c r="H3" s="35">
        <v>5</v>
      </c>
    </row>
    <row r="4" spans="1:8" ht="15" customHeight="1" x14ac:dyDescent="0.25">
      <c r="A4" s="44" t="s">
        <v>7</v>
      </c>
      <c r="B4" s="44" t="s">
        <v>8</v>
      </c>
      <c r="C4" s="5" t="s">
        <v>9</v>
      </c>
      <c r="D4" s="31"/>
      <c r="E4" s="31"/>
      <c r="F4" s="32">
        <v>8579</v>
      </c>
      <c r="G4" s="1"/>
    </row>
    <row r="5" spans="1:8" ht="15" customHeight="1" x14ac:dyDescent="0.25">
      <c r="A5" s="44" t="s">
        <v>10</v>
      </c>
      <c r="B5" s="44"/>
      <c r="C5" s="5"/>
      <c r="D5" s="17"/>
      <c r="E5" s="17"/>
      <c r="F5" s="29">
        <f>(784+882)/F4</f>
        <v>0.19419512763725377</v>
      </c>
      <c r="G5" s="1"/>
    </row>
    <row r="6" spans="1:8" ht="15" customHeight="1" x14ac:dyDescent="0.25">
      <c r="A6" s="44" t="s">
        <v>11</v>
      </c>
      <c r="B6" s="44"/>
      <c r="C6" s="5"/>
      <c r="D6" s="24"/>
      <c r="E6" s="4"/>
      <c r="F6" s="18">
        <f>F7+F8</f>
        <v>2188</v>
      </c>
      <c r="G6" s="1"/>
    </row>
    <row r="7" spans="1:8" ht="15" customHeight="1" x14ac:dyDescent="0.25">
      <c r="A7" s="43" t="s">
        <v>12</v>
      </c>
      <c r="B7" s="43"/>
      <c r="C7" s="5"/>
      <c r="D7" s="24"/>
      <c r="E7" s="4"/>
      <c r="F7" s="18">
        <v>838</v>
      </c>
      <c r="G7" s="1"/>
    </row>
    <row r="8" spans="1:8" ht="15" customHeight="1" x14ac:dyDescent="0.25">
      <c r="A8" s="43" t="s">
        <v>13</v>
      </c>
      <c r="B8" s="43"/>
      <c r="C8" s="5"/>
      <c r="D8" s="30"/>
      <c r="E8" s="4"/>
      <c r="F8" s="18">
        <v>1350</v>
      </c>
      <c r="G8" s="1"/>
    </row>
    <row r="9" spans="1:8" ht="15" customHeight="1" x14ac:dyDescent="0.25">
      <c r="A9" s="44" t="s">
        <v>14</v>
      </c>
      <c r="B9" s="44"/>
      <c r="C9" s="5"/>
      <c r="D9" s="24"/>
      <c r="E9" s="4"/>
      <c r="F9" s="18">
        <f>F10+F11+F12</f>
        <v>6871</v>
      </c>
      <c r="G9" s="1"/>
    </row>
    <row r="10" spans="1:8" ht="15" customHeight="1" x14ac:dyDescent="0.25">
      <c r="A10" s="43" t="s">
        <v>15</v>
      </c>
      <c r="B10" s="43"/>
      <c r="C10" s="5"/>
      <c r="D10" s="24"/>
      <c r="E10" s="4"/>
      <c r="F10" s="18">
        <v>4630</v>
      </c>
      <c r="G10" s="1"/>
    </row>
    <row r="11" spans="1:8" ht="15" customHeight="1" x14ac:dyDescent="0.25">
      <c r="A11" s="43" t="s">
        <v>16</v>
      </c>
      <c r="B11" s="43"/>
      <c r="C11" s="5"/>
      <c r="D11" s="24"/>
      <c r="E11" s="4"/>
      <c r="F11" s="18">
        <v>900</v>
      </c>
      <c r="G11" s="1"/>
    </row>
    <row r="12" spans="1:8" ht="15" customHeight="1" x14ac:dyDescent="0.25">
      <c r="A12" s="43" t="s">
        <v>17</v>
      </c>
      <c r="B12" s="43"/>
      <c r="C12" s="5"/>
      <c r="D12" s="24"/>
      <c r="E12" s="4"/>
      <c r="F12" s="18">
        <v>1341</v>
      </c>
      <c r="G12" s="1"/>
    </row>
    <row r="13" spans="1:8" ht="15" customHeight="1" x14ac:dyDescent="0.25">
      <c r="A13" s="44" t="s">
        <v>18</v>
      </c>
      <c r="B13" s="44"/>
      <c r="C13" s="5"/>
      <c r="D13" s="17"/>
      <c r="E13" s="17"/>
      <c r="F13" s="29">
        <f>(F10+0.5*(F11+F12))/F4</f>
        <v>0.67029956871430241</v>
      </c>
      <c r="G13" s="1"/>
    </row>
    <row r="14" spans="1:8" ht="15" customHeight="1" x14ac:dyDescent="0.25">
      <c r="A14" s="42" t="s">
        <v>19</v>
      </c>
      <c r="B14" s="42"/>
      <c r="C14" s="6" t="s">
        <v>20</v>
      </c>
      <c r="D14" s="19">
        <f>D17+D20</f>
        <v>0</v>
      </c>
      <c r="E14" s="6"/>
      <c r="F14" s="19">
        <f>F17+F20</f>
        <v>6234.93</v>
      </c>
      <c r="G14" s="7"/>
    </row>
    <row r="15" spans="1:8" ht="15" customHeight="1" x14ac:dyDescent="0.25">
      <c r="A15" s="42" t="s">
        <v>21</v>
      </c>
      <c r="B15" s="42"/>
      <c r="C15" s="6" t="s">
        <v>22</v>
      </c>
      <c r="D15" s="25">
        <f>D16+D19</f>
        <v>0</v>
      </c>
      <c r="E15" s="25"/>
      <c r="F15" s="25">
        <f>F16+F19</f>
        <v>114</v>
      </c>
      <c r="G15" s="7"/>
    </row>
    <row r="16" spans="1:8" ht="15" customHeight="1" x14ac:dyDescent="0.25">
      <c r="A16" s="43" t="s">
        <v>23</v>
      </c>
      <c r="B16" s="43" t="s">
        <v>8</v>
      </c>
      <c r="C16" s="5" t="s">
        <v>24</v>
      </c>
      <c r="D16" s="27"/>
      <c r="E16" s="27"/>
      <c r="F16" s="27">
        <v>114</v>
      </c>
      <c r="G16" s="8"/>
    </row>
    <row r="17" spans="1:10" ht="15" customHeight="1" x14ac:dyDescent="0.25">
      <c r="A17" s="43" t="s">
        <v>25</v>
      </c>
      <c r="B17" s="43" t="s">
        <v>26</v>
      </c>
      <c r="C17" s="5" t="s">
        <v>27</v>
      </c>
      <c r="D17" s="20"/>
      <c r="E17" s="5"/>
      <c r="F17" s="20">
        <v>6234.93</v>
      </c>
      <c r="G17" s="8"/>
    </row>
    <row r="18" spans="1:10" ht="15" customHeight="1" x14ac:dyDescent="0.25">
      <c r="A18" s="45" t="s">
        <v>28</v>
      </c>
      <c r="B18" s="45" t="s">
        <v>29</v>
      </c>
      <c r="C18" s="6" t="s">
        <v>30</v>
      </c>
      <c r="D18" s="19" t="str">
        <f>IFERROR(D17/D16,"Brak danych")</f>
        <v>Brak danych</v>
      </c>
      <c r="E18" s="6"/>
      <c r="F18" s="19">
        <f>IFERROR(F17/F16,"Brak danych")</f>
        <v>54.692368421052635</v>
      </c>
      <c r="G18" s="9"/>
    </row>
    <row r="19" spans="1:10" ht="15" customHeight="1" x14ac:dyDescent="0.25">
      <c r="A19" s="43" t="s">
        <v>31</v>
      </c>
      <c r="B19" s="43" t="s">
        <v>32</v>
      </c>
      <c r="C19" s="5" t="s">
        <v>33</v>
      </c>
      <c r="D19" s="27"/>
      <c r="E19" s="27"/>
      <c r="F19" s="27">
        <v>0</v>
      </c>
      <c r="G19" s="8"/>
    </row>
    <row r="20" spans="1:10" ht="15" customHeight="1" x14ac:dyDescent="0.25">
      <c r="A20" s="43" t="s">
        <v>34</v>
      </c>
      <c r="B20" s="43" t="s">
        <v>35</v>
      </c>
      <c r="C20" s="5" t="s">
        <v>36</v>
      </c>
      <c r="D20" s="27"/>
      <c r="E20" s="27"/>
      <c r="F20" s="27">
        <v>0</v>
      </c>
      <c r="G20" s="8"/>
    </row>
    <row r="21" spans="1:10" ht="15" customHeight="1" x14ac:dyDescent="0.25">
      <c r="A21" s="44" t="s">
        <v>37</v>
      </c>
      <c r="B21" s="44" t="s">
        <v>38</v>
      </c>
      <c r="C21" s="5"/>
      <c r="D21" s="20"/>
      <c r="E21" s="5"/>
      <c r="F21" s="20">
        <v>744.46</v>
      </c>
      <c r="G21" s="5"/>
    </row>
    <row r="22" spans="1:10" ht="45" customHeight="1" x14ac:dyDescent="0.25">
      <c r="A22" s="43" t="s">
        <v>39</v>
      </c>
      <c r="B22" s="43" t="s">
        <v>38</v>
      </c>
      <c r="C22" s="5"/>
      <c r="D22" s="20"/>
      <c r="E22" s="5"/>
      <c r="F22" s="20">
        <v>254.78</v>
      </c>
      <c r="G22" s="5"/>
      <c r="I22" t="s">
        <v>94</v>
      </c>
      <c r="J22">
        <v>2311.21</v>
      </c>
    </row>
    <row r="23" spans="1:10" ht="15" customHeight="1" x14ac:dyDescent="0.25">
      <c r="A23" s="42" t="s">
        <v>40</v>
      </c>
      <c r="B23" s="42"/>
      <c r="C23" s="6" t="s">
        <v>41</v>
      </c>
      <c r="D23" s="25">
        <f>D26+D27</f>
        <v>0</v>
      </c>
      <c r="E23" s="25"/>
      <c r="F23" s="25">
        <f>F26+F27</f>
        <v>137</v>
      </c>
      <c r="G23" s="7"/>
    </row>
    <row r="24" spans="1:10" ht="15" customHeight="1" x14ac:dyDescent="0.25">
      <c r="A24" s="44" t="s">
        <v>42</v>
      </c>
      <c r="B24" s="44"/>
      <c r="C24" s="5"/>
      <c r="D24" s="27"/>
      <c r="E24" s="27"/>
      <c r="F24" s="27">
        <v>137</v>
      </c>
      <c r="G24" s="10"/>
    </row>
    <row r="25" spans="1:10" ht="15" customHeight="1" x14ac:dyDescent="0.25">
      <c r="A25" s="43" t="s">
        <v>43</v>
      </c>
      <c r="B25" s="43" t="s">
        <v>38</v>
      </c>
      <c r="C25" s="5"/>
      <c r="D25" s="27"/>
      <c r="E25" s="27"/>
      <c r="F25" s="27">
        <v>40</v>
      </c>
      <c r="G25" s="8"/>
    </row>
    <row r="26" spans="1:10" ht="15" customHeight="1" x14ac:dyDescent="0.25">
      <c r="A26" s="43" t="s">
        <v>44</v>
      </c>
      <c r="B26" s="43" t="s">
        <v>38</v>
      </c>
      <c r="C26" s="5" t="s">
        <v>45</v>
      </c>
      <c r="D26" s="27"/>
      <c r="E26" s="27"/>
      <c r="F26" s="27">
        <v>43</v>
      </c>
      <c r="G26" s="8"/>
    </row>
    <row r="27" spans="1:10" ht="15" customHeight="1" x14ac:dyDescent="0.25">
      <c r="A27" s="43" t="s">
        <v>46</v>
      </c>
      <c r="B27" s="43"/>
      <c r="C27" s="5" t="s">
        <v>47</v>
      </c>
      <c r="D27" s="27"/>
      <c r="E27" s="27"/>
      <c r="F27" s="27">
        <v>94</v>
      </c>
      <c r="G27" s="8"/>
    </row>
    <row r="28" spans="1:10" ht="15" customHeight="1" x14ac:dyDescent="0.25">
      <c r="A28" s="43" t="s">
        <v>48</v>
      </c>
      <c r="B28" s="43"/>
      <c r="C28" s="5"/>
      <c r="D28" s="27"/>
      <c r="E28" s="27"/>
      <c r="F28" s="27">
        <v>0</v>
      </c>
      <c r="G28" s="8"/>
    </row>
    <row r="29" spans="1:10" ht="15" customHeight="1" x14ac:dyDescent="0.25">
      <c r="A29" s="43" t="s">
        <v>49</v>
      </c>
      <c r="B29" s="43"/>
      <c r="C29" s="5"/>
      <c r="D29" s="27"/>
      <c r="E29" s="5"/>
      <c r="F29" s="26">
        <f>F27*12.5+5.5</f>
        <v>1180.5</v>
      </c>
      <c r="G29" s="8"/>
    </row>
    <row r="30" spans="1:10" s="11" customFormat="1" ht="15" customHeight="1" x14ac:dyDescent="0.25">
      <c r="A30" s="42" t="s">
        <v>50</v>
      </c>
      <c r="B30" s="42"/>
      <c r="C30" s="6" t="s">
        <v>51</v>
      </c>
      <c r="D30" s="25">
        <f>D31+D36</f>
        <v>0</v>
      </c>
      <c r="E30" s="28"/>
      <c r="F30" s="25">
        <f>F31+F36</f>
        <v>28</v>
      </c>
      <c r="G30" s="7"/>
    </row>
    <row r="31" spans="1:10" ht="15" customHeight="1" x14ac:dyDescent="0.25">
      <c r="A31" s="43" t="s">
        <v>52</v>
      </c>
      <c r="B31" s="43"/>
      <c r="C31" s="5" t="s">
        <v>53</v>
      </c>
      <c r="D31" s="27"/>
      <c r="E31" s="27"/>
      <c r="F31" s="27">
        <f>F32+F33</f>
        <v>28</v>
      </c>
      <c r="G31" s="8"/>
    </row>
    <row r="32" spans="1:10" ht="15" customHeight="1" x14ac:dyDescent="0.25">
      <c r="A32" s="43" t="s">
        <v>54</v>
      </c>
      <c r="B32" s="43"/>
      <c r="C32" s="5"/>
      <c r="D32" s="27"/>
      <c r="E32" s="27"/>
      <c r="F32" s="27">
        <v>21</v>
      </c>
      <c r="G32" s="8"/>
    </row>
    <row r="33" spans="1:7" ht="15" customHeight="1" x14ac:dyDescent="0.25">
      <c r="A33" s="43" t="s">
        <v>55</v>
      </c>
      <c r="B33" s="43"/>
      <c r="C33" s="5"/>
      <c r="D33" s="27"/>
      <c r="E33" s="27"/>
      <c r="F33" s="27">
        <v>7</v>
      </c>
      <c r="G33" s="8"/>
    </row>
    <row r="34" spans="1:7" ht="15" customHeight="1" x14ac:dyDescent="0.25">
      <c r="A34" s="43" t="s">
        <v>56</v>
      </c>
      <c r="B34" s="43"/>
      <c r="C34" s="5"/>
      <c r="D34" s="20"/>
      <c r="E34" s="5"/>
      <c r="F34" s="20">
        <v>60.78</v>
      </c>
      <c r="G34" s="8"/>
    </row>
    <row r="35" spans="1:7" ht="15" customHeight="1" x14ac:dyDescent="0.25">
      <c r="A35" s="43" t="s">
        <v>57</v>
      </c>
      <c r="B35" s="43"/>
      <c r="C35" s="5"/>
      <c r="D35" s="20"/>
      <c r="E35" s="5"/>
      <c r="F35" s="20">
        <v>1417.34</v>
      </c>
      <c r="G35" s="8"/>
    </row>
    <row r="36" spans="1:7" ht="15" customHeight="1" x14ac:dyDescent="0.25">
      <c r="A36" s="43" t="s">
        <v>58</v>
      </c>
      <c r="B36" s="43"/>
      <c r="C36" s="5" t="s">
        <v>59</v>
      </c>
      <c r="D36" s="27"/>
      <c r="E36" s="27"/>
      <c r="F36" s="27">
        <v>0</v>
      </c>
      <c r="G36" s="8"/>
    </row>
    <row r="37" spans="1:7" ht="15" customHeight="1" x14ac:dyDescent="0.25">
      <c r="A37" s="44" t="s">
        <v>60</v>
      </c>
      <c r="B37" s="44"/>
      <c r="C37" s="5" t="s">
        <v>61</v>
      </c>
      <c r="D37" s="27"/>
      <c r="E37" s="27"/>
      <c r="F37" s="27">
        <v>2</v>
      </c>
      <c r="G37" s="8"/>
    </row>
    <row r="38" spans="1:7" ht="15" customHeight="1" x14ac:dyDescent="0.25">
      <c r="A38" s="43" t="s">
        <v>62</v>
      </c>
      <c r="B38" s="43"/>
      <c r="C38" s="5"/>
      <c r="D38" s="27"/>
      <c r="E38" s="27"/>
      <c r="F38" s="27" t="s">
        <v>96</v>
      </c>
      <c r="G38" s="8"/>
    </row>
    <row r="39" spans="1:7" ht="15" customHeight="1" x14ac:dyDescent="0.25">
      <c r="A39" s="43" t="s">
        <v>63</v>
      </c>
      <c r="B39" s="43"/>
      <c r="C39" s="5"/>
      <c r="D39" s="27"/>
      <c r="E39" s="27"/>
      <c r="F39" s="27">
        <v>258</v>
      </c>
      <c r="G39" s="8"/>
    </row>
    <row r="40" spans="1:7" ht="15" customHeight="1" x14ac:dyDescent="0.25">
      <c r="A40" s="43" t="s">
        <v>64</v>
      </c>
      <c r="B40" s="43"/>
      <c r="C40" s="5"/>
      <c r="D40" s="27"/>
      <c r="E40" s="27"/>
      <c r="F40" s="27">
        <v>258</v>
      </c>
      <c r="G40" s="8"/>
    </row>
    <row r="41" spans="1:7" ht="15" customHeight="1" x14ac:dyDescent="0.25">
      <c r="A41" s="43" t="s">
        <v>65</v>
      </c>
      <c r="B41" s="43"/>
      <c r="C41" s="5"/>
      <c r="D41" s="27"/>
      <c r="E41" s="27"/>
      <c r="F41" s="27" t="s">
        <v>95</v>
      </c>
      <c r="G41" s="8"/>
    </row>
    <row r="42" spans="1:7" ht="15" customHeight="1" x14ac:dyDescent="0.25">
      <c r="A42" s="43" t="s">
        <v>66</v>
      </c>
      <c r="B42" s="43"/>
      <c r="C42" s="5"/>
      <c r="D42" s="27"/>
      <c r="E42" s="27"/>
      <c r="F42" s="27">
        <v>1</v>
      </c>
      <c r="G42" s="8"/>
    </row>
    <row r="43" spans="1:7" ht="15" customHeight="1" x14ac:dyDescent="0.25">
      <c r="A43" s="43" t="s">
        <v>67</v>
      </c>
      <c r="B43" s="43"/>
      <c r="C43" s="5" t="s">
        <v>68</v>
      </c>
      <c r="D43" s="27"/>
      <c r="E43" s="27"/>
      <c r="F43" s="27">
        <v>2</v>
      </c>
      <c r="G43" s="8"/>
    </row>
    <row r="44" spans="1:7" ht="15" customHeight="1" x14ac:dyDescent="0.25">
      <c r="A44" s="42" t="s">
        <v>69</v>
      </c>
      <c r="B44" s="42"/>
      <c r="C44" s="5" t="s">
        <v>70</v>
      </c>
      <c r="D44" s="20"/>
      <c r="E44" s="5"/>
      <c r="F44" s="36">
        <f>F47+F49</f>
        <v>9582.73</v>
      </c>
      <c r="G44" s="8"/>
    </row>
    <row r="45" spans="1:7" ht="15" customHeight="1" x14ac:dyDescent="0.25">
      <c r="A45" s="43" t="s">
        <v>71</v>
      </c>
      <c r="B45" s="43"/>
      <c r="C45" s="5"/>
      <c r="D45" s="20"/>
      <c r="E45" s="5"/>
      <c r="F45" s="20">
        <v>835.96</v>
      </c>
      <c r="G45" s="8"/>
    </row>
    <row r="46" spans="1:7" ht="15" customHeight="1" x14ac:dyDescent="0.25">
      <c r="A46" s="42" t="s">
        <v>72</v>
      </c>
      <c r="B46" s="42"/>
      <c r="C46" s="5" t="s">
        <v>73</v>
      </c>
      <c r="D46" s="20">
        <f>D45+D44</f>
        <v>0</v>
      </c>
      <c r="E46" s="5"/>
      <c r="F46" s="20">
        <f>F45+F44</f>
        <v>10418.689999999999</v>
      </c>
      <c r="G46" s="8"/>
    </row>
    <row r="47" spans="1:7" ht="15" customHeight="1" x14ac:dyDescent="0.25">
      <c r="A47" s="42" t="s">
        <v>74</v>
      </c>
      <c r="B47" s="42"/>
      <c r="C47" s="5" t="s">
        <v>75</v>
      </c>
      <c r="D47" s="20"/>
      <c r="E47" s="5"/>
      <c r="F47" s="20">
        <f>F17+F21</f>
        <v>6979.39</v>
      </c>
      <c r="G47" s="8"/>
    </row>
    <row r="48" spans="1:7" ht="15" customHeight="1" x14ac:dyDescent="0.25">
      <c r="A48" s="42" t="s">
        <v>76</v>
      </c>
      <c r="B48" s="42"/>
      <c r="C48" s="5" t="s">
        <v>77</v>
      </c>
      <c r="D48" s="20">
        <f>D47+D45</f>
        <v>0</v>
      </c>
      <c r="E48" s="5"/>
      <c r="F48" s="20">
        <f>F47+F45</f>
        <v>7815.35</v>
      </c>
      <c r="G48" s="8"/>
    </row>
    <row r="49" spans="1:7" ht="15" customHeight="1" x14ac:dyDescent="0.25">
      <c r="A49" s="42" t="s">
        <v>78</v>
      </c>
      <c r="B49" s="42"/>
      <c r="C49" s="6" t="s">
        <v>79</v>
      </c>
      <c r="D49" s="19"/>
      <c r="E49" s="6"/>
      <c r="F49" s="19">
        <v>2603.34</v>
      </c>
      <c r="G49" s="7"/>
    </row>
    <row r="50" spans="1:7" ht="15" customHeight="1" x14ac:dyDescent="0.25">
      <c r="A50" s="43" t="s">
        <v>80</v>
      </c>
      <c r="B50" s="43"/>
      <c r="C50" s="5" t="s">
        <v>81</v>
      </c>
      <c r="D50" s="20"/>
      <c r="E50" s="5"/>
      <c r="F50" s="20">
        <v>3099.17</v>
      </c>
      <c r="G50" s="10"/>
    </row>
    <row r="51" spans="1:7" ht="15" customHeight="1" x14ac:dyDescent="0.25">
      <c r="A51" s="42" t="s">
        <v>82</v>
      </c>
      <c r="B51" s="42"/>
      <c r="C51" s="6"/>
      <c r="D51" s="19" t="str">
        <f>IFERROR(D14/D47,"Brak danych")</f>
        <v>Brak danych</v>
      </c>
      <c r="E51" s="6"/>
      <c r="F51" s="19">
        <f>IFERROR(F14/F47,"Brak danych")</f>
        <v>0.89333451777304318</v>
      </c>
      <c r="G51" s="9"/>
    </row>
    <row r="52" spans="1:7" ht="15" customHeight="1" x14ac:dyDescent="0.25">
      <c r="A52" s="42" t="s">
        <v>83</v>
      </c>
      <c r="B52" s="42"/>
      <c r="C52" s="6"/>
      <c r="D52" s="19" t="str">
        <f>IFERROR(D14/D48,"Brak danych")</f>
        <v>Brak danych</v>
      </c>
      <c r="E52" s="6"/>
      <c r="F52" s="19">
        <f>IFERROR(F14/F48,"Brak danych")</f>
        <v>0.79778000985240582</v>
      </c>
      <c r="G52" s="9"/>
    </row>
    <row r="53" spans="1:7" ht="15" customHeight="1" x14ac:dyDescent="0.25">
      <c r="A53" s="42" t="s">
        <v>84</v>
      </c>
      <c r="B53" s="42"/>
      <c r="C53" s="6"/>
      <c r="D53" s="19" t="str">
        <f>IFERROR(D14/D44,"Brak danych")</f>
        <v>Brak danych</v>
      </c>
      <c r="E53" s="6"/>
      <c r="F53" s="19">
        <f>IFERROR(F14/F44,"Brak danych")</f>
        <v>0.65064235348381938</v>
      </c>
      <c r="G53" s="9"/>
    </row>
    <row r="54" spans="1:7" ht="15" customHeight="1" x14ac:dyDescent="0.25">
      <c r="A54" s="42" t="s">
        <v>85</v>
      </c>
      <c r="B54" s="42"/>
      <c r="C54" s="6"/>
      <c r="D54" s="19" t="str">
        <f>IFERROR(D14/D46,"Brak danych")</f>
        <v>Brak danych</v>
      </c>
      <c r="E54" s="6"/>
      <c r="F54" s="19">
        <f>IFERROR(F14/F46,"Brak danych")</f>
        <v>0.59843703958943029</v>
      </c>
      <c r="G54" s="9"/>
    </row>
    <row r="55" spans="1:7" ht="15" customHeight="1" x14ac:dyDescent="0.25">
      <c r="A55" s="42" t="s">
        <v>86</v>
      </c>
      <c r="B55" s="42"/>
      <c r="C55" s="6"/>
      <c r="D55" s="19" t="str">
        <f>IFERROR(D49/D27,"Brak danych")</f>
        <v>Brak danych</v>
      </c>
      <c r="E55" s="6"/>
      <c r="F55" s="19">
        <f>IFERROR(F49/F27,"Brak danych")</f>
        <v>27.695106382978725</v>
      </c>
      <c r="G55" s="9"/>
    </row>
    <row r="56" spans="1:7" ht="15" customHeight="1" x14ac:dyDescent="0.25">
      <c r="A56" s="42" t="s">
        <v>87</v>
      </c>
      <c r="B56" s="42"/>
      <c r="C56" s="6"/>
      <c r="D56" s="19" t="str">
        <f>IFERROR(D14/D4,"Brak danych")</f>
        <v>Brak danych</v>
      </c>
      <c r="E56" s="6"/>
      <c r="F56" s="19">
        <f>IFERROR(F14/F4,"Brak danych")</f>
        <v>0.72676652290476751</v>
      </c>
      <c r="G56" s="9"/>
    </row>
    <row r="57" spans="1:7" ht="15" customHeight="1" x14ac:dyDescent="0.25">
      <c r="A57" s="42" t="s">
        <v>88</v>
      </c>
      <c r="B57" s="42"/>
      <c r="C57" s="6"/>
      <c r="D57" s="19" t="str">
        <f>IFERROR(D14/D37,"Brak danych")</f>
        <v>Brak danych</v>
      </c>
      <c r="E57" s="6"/>
      <c r="F57" s="19">
        <f>IFERROR(F14/F37,"Brak danych")</f>
        <v>3117.4650000000001</v>
      </c>
      <c r="G57" s="9"/>
    </row>
    <row r="58" spans="1:7" ht="15" customHeight="1" x14ac:dyDescent="0.25">
      <c r="A58" s="42" t="s">
        <v>86</v>
      </c>
      <c r="B58" s="42"/>
      <c r="C58" s="6"/>
      <c r="D58" s="19" t="str">
        <f>IFERROR(D49/D27,"Brak danych")</f>
        <v>Brak danych</v>
      </c>
      <c r="E58" s="6"/>
      <c r="F58" s="19">
        <f>IFERROR(F49/F27,"Brak danych")</f>
        <v>27.695106382978725</v>
      </c>
      <c r="G58" s="9"/>
    </row>
    <row r="59" spans="1:7" ht="15" customHeight="1" x14ac:dyDescent="0.25">
      <c r="A59" s="42" t="s">
        <v>89</v>
      </c>
      <c r="B59" s="42"/>
      <c r="C59" s="6"/>
      <c r="D59" s="19" t="str">
        <f>IFERROR(D16/D43,"Brak danych")</f>
        <v>Brak danych</v>
      </c>
      <c r="E59" s="6"/>
      <c r="F59" s="19">
        <f>IFERROR(F16/F43,"Brak danych")</f>
        <v>57</v>
      </c>
      <c r="G59" s="9"/>
    </row>
    <row r="60" spans="1:7" ht="15" customHeight="1" x14ac:dyDescent="0.25">
      <c r="A60" s="42" t="s">
        <v>90</v>
      </c>
      <c r="B60" s="42"/>
      <c r="C60" s="6"/>
      <c r="D60" s="19" t="str">
        <f>IFERROR(D44/D49,"Brak danych")</f>
        <v>Brak danych</v>
      </c>
      <c r="E60" s="6"/>
      <c r="F60" s="19">
        <f>IFERROR(F44/F49,"Brak danych")</f>
        <v>3.680936796576705</v>
      </c>
      <c r="G60" s="9"/>
    </row>
    <row r="61" spans="1:7" ht="15" customHeight="1" x14ac:dyDescent="0.25">
      <c r="A61" s="42" t="s">
        <v>91</v>
      </c>
      <c r="B61" s="42"/>
      <c r="C61" s="6"/>
      <c r="D61" s="25" t="str">
        <f>IFERROR(D16/D37,"Brak danych")</f>
        <v>Brak danych</v>
      </c>
      <c r="E61" s="6"/>
      <c r="F61" s="25">
        <f>IFERROR(F16/F37,"Brak danych")</f>
        <v>57</v>
      </c>
      <c r="G61" s="9"/>
    </row>
    <row r="62" spans="1:7" ht="15" customHeight="1" x14ac:dyDescent="0.25">
      <c r="A62" s="42" t="s">
        <v>92</v>
      </c>
      <c r="B62" s="42"/>
      <c r="C62" s="6"/>
      <c r="D62" s="19" t="str">
        <f>IFERROR(D50/D14,"Brak danych")</f>
        <v>Brak danych</v>
      </c>
      <c r="E62" s="6"/>
      <c r="F62" s="19">
        <f>IFERROR(F50/F14,"Brak danych")</f>
        <v>0.49706572487582057</v>
      </c>
      <c r="G62" s="9"/>
    </row>
    <row r="63" spans="1:7" ht="15" customHeight="1" x14ac:dyDescent="0.25">
      <c r="A63" s="48"/>
      <c r="B63" s="48"/>
      <c r="C63" s="6"/>
      <c r="D63" s="19"/>
      <c r="E63" s="6"/>
      <c r="F63" s="19"/>
      <c r="G63" s="9"/>
    </row>
    <row r="64" spans="1:7" s="12" customFormat="1" x14ac:dyDescent="0.25">
      <c r="B64" s="13"/>
      <c r="C64" s="14"/>
      <c r="D64" s="21"/>
      <c r="E64" s="14"/>
      <c r="F64" s="21"/>
    </row>
    <row r="65" spans="1:7" ht="45" customHeight="1" x14ac:dyDescent="0.25">
      <c r="A65" s="49" t="s">
        <v>93</v>
      </c>
      <c r="B65" s="49"/>
      <c r="C65" s="15"/>
      <c r="D65" s="22"/>
      <c r="E65" s="15"/>
      <c r="F65" s="22"/>
      <c r="G65" s="16"/>
    </row>
    <row r="66" spans="1:7" x14ac:dyDescent="0.25">
      <c r="A66" s="12"/>
    </row>
    <row r="67" spans="1:7" x14ac:dyDescent="0.25">
      <c r="A67" s="12"/>
    </row>
  </sheetData>
  <mergeCells count="63">
    <mergeCell ref="A7:B7"/>
    <mergeCell ref="A2:G2"/>
    <mergeCell ref="A3:B3"/>
    <mergeCell ref="A4:B4"/>
    <mergeCell ref="A5:B5"/>
    <mergeCell ref="A6:B6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43:B43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55:B55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62:B62"/>
    <mergeCell ref="A63:B63"/>
    <mergeCell ref="A65:B65"/>
    <mergeCell ref="A56:B56"/>
    <mergeCell ref="A57:B57"/>
    <mergeCell ref="A58:B58"/>
    <mergeCell ref="A59:B59"/>
    <mergeCell ref="A60:B60"/>
    <mergeCell ref="A61:B61"/>
  </mergeCells>
  <conditionalFormatting sqref="D4:G4 D5:E5 G5 D6:G43 D44:E44 G44 D45:G46 D47:E47 G47 D48:G50">
    <cfRule type="containsBlanks" dxfId="7" priority="4">
      <formula>LEN(TRIM(D4))=0</formula>
    </cfRule>
  </conditionalFormatting>
  <conditionalFormatting sqref="F5">
    <cfRule type="containsBlanks" dxfId="6" priority="3">
      <formula>LEN(TRIM(F5))=0</formula>
    </cfRule>
  </conditionalFormatting>
  <conditionalFormatting sqref="F44">
    <cfRule type="containsBlanks" dxfId="5" priority="1">
      <formula>LEN(TRIM(F44))=0</formula>
    </cfRule>
  </conditionalFormatting>
  <conditionalFormatting sqref="F47">
    <cfRule type="containsBlanks" dxfId="4" priority="2">
      <formula>LEN(TRIM(F47))=0</formula>
    </cfRule>
  </conditionalFormatting>
  <pageMargins left="0.7" right="0.7" top="0.75" bottom="0.75" header="0.51180555555555496" footer="0.51180555555555496"/>
  <pageSetup paperSize="9" scale="59" firstPageNumber="0" orientation="portrait" horizontalDpi="300" verticalDpi="300" r:id="rId1"/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2CC32-0283-4238-9FD3-9D6A6D4410A6}">
  <dimension ref="A2:J67"/>
  <sheetViews>
    <sheetView topLeftCell="A15" zoomScale="70" zoomScaleNormal="70" zoomScaleSheetLayoutView="130" zoomScalePageLayoutView="120" workbookViewId="0">
      <selection activeCell="I50" sqref="I50"/>
    </sheetView>
  </sheetViews>
  <sheetFormatPr defaultRowHeight="15" x14ac:dyDescent="0.25"/>
  <cols>
    <col min="1" max="1" width="16.42578125" customWidth="1"/>
    <col min="2" max="2" width="51.85546875" style="2" customWidth="1"/>
    <col min="3" max="3" width="10.7109375" style="3" bestFit="1" customWidth="1"/>
    <col min="4" max="4" width="16.85546875" style="23" customWidth="1"/>
    <col min="5" max="5" width="16.85546875" style="3" customWidth="1"/>
    <col min="6" max="6" width="16.85546875" style="23" customWidth="1"/>
    <col min="7" max="7" width="16.85546875" customWidth="1"/>
    <col min="8" max="1025" width="8.5703125" customWidth="1"/>
  </cols>
  <sheetData>
    <row r="2" spans="1:8" ht="27" customHeight="1" x14ac:dyDescent="0.25">
      <c r="A2" s="46" t="s">
        <v>0</v>
      </c>
      <c r="B2" s="46"/>
      <c r="C2" s="46"/>
      <c r="D2" s="46"/>
      <c r="E2" s="46"/>
      <c r="F2" s="46"/>
      <c r="G2" s="46"/>
    </row>
    <row r="3" spans="1:8" ht="43.35" customHeight="1" x14ac:dyDescent="0.7">
      <c r="A3" s="47" t="s">
        <v>1</v>
      </c>
      <c r="B3" s="47"/>
      <c r="C3" s="4" t="s">
        <v>2</v>
      </c>
      <c r="D3" s="24" t="s">
        <v>3</v>
      </c>
      <c r="E3" s="4" t="s">
        <v>4</v>
      </c>
      <c r="F3" s="18" t="s">
        <v>5</v>
      </c>
      <c r="G3" s="1" t="s">
        <v>6</v>
      </c>
      <c r="H3" s="34">
        <v>6</v>
      </c>
    </row>
    <row r="4" spans="1:8" ht="15" customHeight="1" x14ac:dyDescent="0.25">
      <c r="A4" s="44" t="s">
        <v>7</v>
      </c>
      <c r="B4" s="44" t="s">
        <v>8</v>
      </c>
      <c r="C4" s="5" t="s">
        <v>9</v>
      </c>
      <c r="D4" s="31"/>
      <c r="E4" s="31"/>
      <c r="F4" s="32">
        <v>12437</v>
      </c>
      <c r="G4" s="1"/>
    </row>
    <row r="5" spans="1:8" ht="15" customHeight="1" x14ac:dyDescent="0.25">
      <c r="A5" s="44" t="s">
        <v>10</v>
      </c>
      <c r="B5" s="44"/>
      <c r="C5" s="5"/>
      <c r="D5" s="17"/>
      <c r="E5" s="17"/>
      <c r="F5" s="29">
        <f>(682+788+916)/F4</f>
        <v>0.19184690841842889</v>
      </c>
      <c r="G5" s="1"/>
    </row>
    <row r="6" spans="1:8" ht="15" customHeight="1" x14ac:dyDescent="0.25">
      <c r="A6" s="44" t="s">
        <v>11</v>
      </c>
      <c r="B6" s="44"/>
      <c r="C6" s="5"/>
      <c r="D6" s="24"/>
      <c r="E6" s="4"/>
      <c r="F6" s="18">
        <f>F7+F8</f>
        <v>3401.4</v>
      </c>
      <c r="G6" s="1"/>
    </row>
    <row r="7" spans="1:8" ht="15" customHeight="1" x14ac:dyDescent="0.25">
      <c r="A7" s="43" t="s">
        <v>12</v>
      </c>
      <c r="B7" s="43"/>
      <c r="C7" s="5"/>
      <c r="D7" s="24"/>
      <c r="E7" s="4"/>
      <c r="F7" s="18">
        <v>1126</v>
      </c>
      <c r="G7" s="1"/>
    </row>
    <row r="8" spans="1:8" ht="15" customHeight="1" x14ac:dyDescent="0.25">
      <c r="A8" s="43" t="s">
        <v>13</v>
      </c>
      <c r="B8" s="43"/>
      <c r="C8" s="5"/>
      <c r="D8" s="30"/>
      <c r="E8" s="4"/>
      <c r="F8" s="18">
        <v>2275.4</v>
      </c>
      <c r="G8" s="1"/>
    </row>
    <row r="9" spans="1:8" ht="15" customHeight="1" x14ac:dyDescent="0.25">
      <c r="A9" s="44" t="s">
        <v>14</v>
      </c>
      <c r="B9" s="44"/>
      <c r="C9" s="5"/>
      <c r="D9" s="24"/>
      <c r="E9" s="4"/>
      <c r="F9" s="18">
        <f>F10+F11+F12</f>
        <v>7880</v>
      </c>
      <c r="G9" s="1"/>
    </row>
    <row r="10" spans="1:8" ht="15" customHeight="1" x14ac:dyDescent="0.25">
      <c r="A10" s="43" t="s">
        <v>15</v>
      </c>
      <c r="B10" s="43"/>
      <c r="C10" s="5"/>
      <c r="D10" s="24"/>
      <c r="E10" s="4"/>
      <c r="F10" s="18">
        <v>5215</v>
      </c>
      <c r="G10" s="1"/>
    </row>
    <row r="11" spans="1:8" ht="15" customHeight="1" x14ac:dyDescent="0.25">
      <c r="A11" s="43" t="s">
        <v>16</v>
      </c>
      <c r="B11" s="43"/>
      <c r="C11" s="5"/>
      <c r="D11" s="24"/>
      <c r="E11" s="4"/>
      <c r="F11" s="18">
        <v>807</v>
      </c>
      <c r="G11" s="1"/>
    </row>
    <row r="12" spans="1:8" ht="15" customHeight="1" x14ac:dyDescent="0.25">
      <c r="A12" s="43" t="s">
        <v>17</v>
      </c>
      <c r="B12" s="43"/>
      <c r="C12" s="5"/>
      <c r="D12" s="24"/>
      <c r="E12" s="4"/>
      <c r="F12" s="18">
        <v>1858</v>
      </c>
      <c r="G12" s="1"/>
    </row>
    <row r="13" spans="1:8" ht="15" customHeight="1" x14ac:dyDescent="0.25">
      <c r="A13" s="44" t="s">
        <v>18</v>
      </c>
      <c r="B13" s="44"/>
      <c r="C13" s="5"/>
      <c r="D13" s="17"/>
      <c r="E13" s="17"/>
      <c r="F13" s="29">
        <f>(F10+0.5*(F11+F12))/F4</f>
        <v>0.52645332475677409</v>
      </c>
      <c r="G13" s="1"/>
    </row>
    <row r="14" spans="1:8" ht="15" customHeight="1" x14ac:dyDescent="0.25">
      <c r="A14" s="42" t="s">
        <v>19</v>
      </c>
      <c r="B14" s="42"/>
      <c r="C14" s="6" t="s">
        <v>20</v>
      </c>
      <c r="D14" s="19">
        <f>D17+D20</f>
        <v>0</v>
      </c>
      <c r="E14" s="6"/>
      <c r="F14" s="19">
        <f>F17+F20</f>
        <v>9205.4699999999993</v>
      </c>
      <c r="G14" s="7"/>
    </row>
    <row r="15" spans="1:8" ht="15" customHeight="1" x14ac:dyDescent="0.25">
      <c r="A15" s="42" t="s">
        <v>21</v>
      </c>
      <c r="B15" s="42"/>
      <c r="C15" s="6" t="s">
        <v>22</v>
      </c>
      <c r="D15" s="25">
        <f>D16+D19</f>
        <v>0</v>
      </c>
      <c r="E15" s="25"/>
      <c r="F15" s="25">
        <f>F16+F19</f>
        <v>171</v>
      </c>
      <c r="G15" s="7"/>
    </row>
    <row r="16" spans="1:8" ht="15" customHeight="1" x14ac:dyDescent="0.25">
      <c r="A16" s="43" t="s">
        <v>23</v>
      </c>
      <c r="B16" s="43" t="s">
        <v>8</v>
      </c>
      <c r="C16" s="5" t="s">
        <v>24</v>
      </c>
      <c r="D16" s="27"/>
      <c r="E16" s="27"/>
      <c r="F16" s="27">
        <v>171</v>
      </c>
      <c r="G16" s="8"/>
    </row>
    <row r="17" spans="1:10" ht="15" customHeight="1" x14ac:dyDescent="0.25">
      <c r="A17" s="43" t="s">
        <v>25</v>
      </c>
      <c r="B17" s="43" t="s">
        <v>26</v>
      </c>
      <c r="C17" s="5" t="s">
        <v>27</v>
      </c>
      <c r="D17" s="20"/>
      <c r="E17" s="5"/>
      <c r="F17" s="20">
        <v>9205.4699999999993</v>
      </c>
      <c r="G17" s="8"/>
    </row>
    <row r="18" spans="1:10" ht="15" customHeight="1" x14ac:dyDescent="0.25">
      <c r="A18" s="45" t="s">
        <v>28</v>
      </c>
      <c r="B18" s="45" t="s">
        <v>29</v>
      </c>
      <c r="C18" s="6" t="s">
        <v>30</v>
      </c>
      <c r="D18" s="19" t="str">
        <f>IFERROR(D17/D16,"Brak danych")</f>
        <v>Brak danych</v>
      </c>
      <c r="E18" s="6"/>
      <c r="F18" s="19">
        <f>IFERROR(F17/F16,"Brak danych")</f>
        <v>53.833157894736836</v>
      </c>
      <c r="G18" s="9"/>
    </row>
    <row r="19" spans="1:10" ht="15" customHeight="1" x14ac:dyDescent="0.25">
      <c r="A19" s="43" t="s">
        <v>31</v>
      </c>
      <c r="B19" s="43" t="s">
        <v>32</v>
      </c>
      <c r="C19" s="5" t="s">
        <v>33</v>
      </c>
      <c r="D19" s="27"/>
      <c r="E19" s="27"/>
      <c r="F19" s="27">
        <v>0</v>
      </c>
      <c r="G19" s="8"/>
    </row>
    <row r="20" spans="1:10" ht="15" customHeight="1" x14ac:dyDescent="0.25">
      <c r="A20" s="43" t="s">
        <v>34</v>
      </c>
      <c r="B20" s="43" t="s">
        <v>35</v>
      </c>
      <c r="C20" s="5" t="s">
        <v>36</v>
      </c>
      <c r="D20" s="27"/>
      <c r="E20" s="27"/>
      <c r="F20" s="27">
        <v>0</v>
      </c>
      <c r="G20" s="8"/>
    </row>
    <row r="21" spans="1:10" ht="15" customHeight="1" x14ac:dyDescent="0.25">
      <c r="A21" s="44" t="s">
        <v>37</v>
      </c>
      <c r="B21" s="44" t="s">
        <v>38</v>
      </c>
      <c r="C21" s="5"/>
      <c r="D21" s="20"/>
      <c r="E21" s="5"/>
      <c r="F21" s="20">
        <v>1055.77</v>
      </c>
      <c r="G21" s="5"/>
    </row>
    <row r="22" spans="1:10" ht="45" customHeight="1" x14ac:dyDescent="0.25">
      <c r="A22" s="43" t="s">
        <v>39</v>
      </c>
      <c r="B22" s="43" t="s">
        <v>38</v>
      </c>
      <c r="C22" s="5"/>
      <c r="D22" s="20"/>
      <c r="E22" s="5"/>
      <c r="F22" s="20">
        <v>390.99</v>
      </c>
      <c r="G22" s="5"/>
      <c r="I22" t="s">
        <v>94</v>
      </c>
      <c r="J22">
        <v>2701</v>
      </c>
    </row>
    <row r="23" spans="1:10" ht="15" customHeight="1" x14ac:dyDescent="0.25">
      <c r="A23" s="42" t="s">
        <v>40</v>
      </c>
      <c r="B23" s="42"/>
      <c r="C23" s="6" t="s">
        <v>41</v>
      </c>
      <c r="D23" s="25">
        <f>D26+D27</f>
        <v>0</v>
      </c>
      <c r="E23" s="25"/>
      <c r="F23" s="25">
        <f>F26+F27</f>
        <v>211</v>
      </c>
      <c r="G23" s="7"/>
    </row>
    <row r="24" spans="1:10" ht="15" customHeight="1" x14ac:dyDescent="0.25">
      <c r="A24" s="44" t="s">
        <v>42</v>
      </c>
      <c r="B24" s="44"/>
      <c r="C24" s="5"/>
      <c r="D24" s="27"/>
      <c r="E24" s="27"/>
      <c r="F24" s="27">
        <v>206</v>
      </c>
      <c r="G24" s="10"/>
    </row>
    <row r="25" spans="1:10" ht="15" customHeight="1" x14ac:dyDescent="0.25">
      <c r="A25" s="43" t="s">
        <v>43</v>
      </c>
      <c r="B25" s="43" t="s">
        <v>38</v>
      </c>
      <c r="C25" s="5"/>
      <c r="D25" s="27"/>
      <c r="E25" s="27"/>
      <c r="F25" s="27">
        <v>98</v>
      </c>
      <c r="G25" s="8"/>
    </row>
    <row r="26" spans="1:10" ht="15" customHeight="1" x14ac:dyDescent="0.25">
      <c r="A26" s="43" t="s">
        <v>44</v>
      </c>
      <c r="B26" s="43" t="s">
        <v>38</v>
      </c>
      <c r="C26" s="5" t="s">
        <v>45</v>
      </c>
      <c r="D26" s="27"/>
      <c r="E26" s="27"/>
      <c r="F26" s="27">
        <v>100</v>
      </c>
      <c r="G26" s="8"/>
    </row>
    <row r="27" spans="1:10" ht="15" customHeight="1" x14ac:dyDescent="0.25">
      <c r="A27" s="43" t="s">
        <v>46</v>
      </c>
      <c r="B27" s="43"/>
      <c r="C27" s="5" t="s">
        <v>47</v>
      </c>
      <c r="D27" s="27"/>
      <c r="E27" s="27"/>
      <c r="F27" s="27">
        <v>111</v>
      </c>
      <c r="G27" s="8"/>
    </row>
    <row r="28" spans="1:10" ht="15" customHeight="1" x14ac:dyDescent="0.25">
      <c r="A28" s="43" t="s">
        <v>48</v>
      </c>
      <c r="B28" s="43"/>
      <c r="C28" s="5"/>
      <c r="D28" s="27"/>
      <c r="E28" s="27"/>
      <c r="F28" s="27">
        <v>0</v>
      </c>
      <c r="G28" s="8"/>
    </row>
    <row r="29" spans="1:10" ht="15" customHeight="1" x14ac:dyDescent="0.25">
      <c r="A29" s="43" t="s">
        <v>49</v>
      </c>
      <c r="B29" s="43"/>
      <c r="C29" s="5"/>
      <c r="D29" s="27"/>
      <c r="E29" s="5"/>
      <c r="F29" s="26">
        <f>F27*12.5+5.5</f>
        <v>1393</v>
      </c>
      <c r="G29" s="8"/>
    </row>
    <row r="30" spans="1:10" s="11" customFormat="1" ht="15" customHeight="1" x14ac:dyDescent="0.25">
      <c r="A30" s="42" t="s">
        <v>50</v>
      </c>
      <c r="B30" s="42"/>
      <c r="C30" s="6" t="s">
        <v>51</v>
      </c>
      <c r="D30" s="25">
        <f>D31+D36</f>
        <v>0</v>
      </c>
      <c r="E30" s="28"/>
      <c r="F30" s="25">
        <f>F31+F36</f>
        <v>90</v>
      </c>
      <c r="G30" s="7"/>
    </row>
    <row r="31" spans="1:10" ht="15" customHeight="1" x14ac:dyDescent="0.25">
      <c r="A31" s="43" t="s">
        <v>52</v>
      </c>
      <c r="B31" s="43"/>
      <c r="C31" s="5" t="s">
        <v>53</v>
      </c>
      <c r="D31" s="27"/>
      <c r="E31" s="27"/>
      <c r="F31" s="27">
        <f>F32+F33</f>
        <v>90</v>
      </c>
      <c r="G31" s="8"/>
    </row>
    <row r="32" spans="1:10" ht="15" customHeight="1" x14ac:dyDescent="0.25">
      <c r="A32" s="43" t="s">
        <v>54</v>
      </c>
      <c r="B32" s="43"/>
      <c r="C32" s="5"/>
      <c r="D32" s="27"/>
      <c r="E32" s="27"/>
      <c r="F32" s="27">
        <v>75</v>
      </c>
      <c r="G32" s="8"/>
    </row>
    <row r="33" spans="1:7" ht="15" customHeight="1" x14ac:dyDescent="0.25">
      <c r="A33" s="43" t="s">
        <v>55</v>
      </c>
      <c r="B33" s="43"/>
      <c r="C33" s="5"/>
      <c r="D33" s="27"/>
      <c r="E33" s="27"/>
      <c r="F33" s="27">
        <v>15</v>
      </c>
      <c r="G33" s="8"/>
    </row>
    <row r="34" spans="1:7" ht="15" customHeight="1" x14ac:dyDescent="0.25">
      <c r="A34" s="43" t="s">
        <v>56</v>
      </c>
      <c r="B34" s="43"/>
      <c r="C34" s="5"/>
      <c r="D34" s="20"/>
      <c r="E34" s="5"/>
      <c r="F34" s="20">
        <v>218.5</v>
      </c>
      <c r="G34" s="8"/>
    </row>
    <row r="35" spans="1:7" ht="15" customHeight="1" x14ac:dyDescent="0.25">
      <c r="A35" s="43" t="s">
        <v>57</v>
      </c>
      <c r="B35" s="43"/>
      <c r="C35" s="5"/>
      <c r="D35" s="20"/>
      <c r="E35" s="5"/>
      <c r="F35" s="20">
        <v>1860.16</v>
      </c>
      <c r="G35" s="8"/>
    </row>
    <row r="36" spans="1:7" ht="15" customHeight="1" x14ac:dyDescent="0.25">
      <c r="A36" s="43" t="s">
        <v>58</v>
      </c>
      <c r="B36" s="43"/>
      <c r="C36" s="5" t="s">
        <v>59</v>
      </c>
      <c r="D36" s="27"/>
      <c r="E36" s="27"/>
      <c r="F36" s="27">
        <v>0</v>
      </c>
      <c r="G36" s="8"/>
    </row>
    <row r="37" spans="1:7" ht="15" customHeight="1" x14ac:dyDescent="0.25">
      <c r="A37" s="44" t="s">
        <v>60</v>
      </c>
      <c r="B37" s="44"/>
      <c r="C37" s="5" t="s">
        <v>61</v>
      </c>
      <c r="D37" s="27"/>
      <c r="E37" s="27"/>
      <c r="F37" s="27">
        <v>3</v>
      </c>
      <c r="G37" s="8"/>
    </row>
    <row r="38" spans="1:7" ht="15" customHeight="1" x14ac:dyDescent="0.25">
      <c r="A38" s="43" t="s">
        <v>62</v>
      </c>
      <c r="B38" s="43"/>
      <c r="C38" s="5"/>
      <c r="D38" s="27"/>
      <c r="E38" s="27"/>
      <c r="F38" s="27" t="s">
        <v>96</v>
      </c>
      <c r="G38" s="8"/>
    </row>
    <row r="39" spans="1:7" ht="15" customHeight="1" x14ac:dyDescent="0.25">
      <c r="A39" s="43" t="s">
        <v>63</v>
      </c>
      <c r="B39" s="43"/>
      <c r="C39" s="5"/>
      <c r="D39" s="27"/>
      <c r="E39" s="27"/>
      <c r="F39" s="27">
        <v>258</v>
      </c>
      <c r="G39" s="8"/>
    </row>
    <row r="40" spans="1:7" ht="15" customHeight="1" x14ac:dyDescent="0.25">
      <c r="A40" s="43" t="s">
        <v>64</v>
      </c>
      <c r="B40" s="43"/>
      <c r="C40" s="5"/>
      <c r="D40" s="27"/>
      <c r="E40" s="27"/>
      <c r="F40" s="27">
        <v>258</v>
      </c>
      <c r="G40" s="8"/>
    </row>
    <row r="41" spans="1:7" ht="15" customHeight="1" x14ac:dyDescent="0.25">
      <c r="A41" s="43" t="s">
        <v>65</v>
      </c>
      <c r="B41" s="43"/>
      <c r="C41" s="5"/>
      <c r="D41" s="27"/>
      <c r="E41" s="27"/>
      <c r="F41" s="27" t="s">
        <v>95</v>
      </c>
      <c r="G41" s="8"/>
    </row>
    <row r="42" spans="1:7" ht="15" customHeight="1" x14ac:dyDescent="0.25">
      <c r="A42" s="43" t="s">
        <v>66</v>
      </c>
      <c r="B42" s="43"/>
      <c r="C42" s="5"/>
      <c r="D42" s="27"/>
      <c r="E42" s="27"/>
      <c r="F42" s="27">
        <v>1</v>
      </c>
      <c r="G42" s="8"/>
    </row>
    <row r="43" spans="1:7" ht="15" customHeight="1" x14ac:dyDescent="0.25">
      <c r="A43" s="43" t="s">
        <v>67</v>
      </c>
      <c r="B43" s="43"/>
      <c r="C43" s="5" t="s">
        <v>68</v>
      </c>
      <c r="D43" s="27"/>
      <c r="E43" s="27"/>
      <c r="F43" s="27">
        <v>3</v>
      </c>
      <c r="G43" s="8"/>
    </row>
    <row r="44" spans="1:7" ht="15" customHeight="1" x14ac:dyDescent="0.25">
      <c r="A44" s="42" t="s">
        <v>69</v>
      </c>
      <c r="B44" s="42"/>
      <c r="C44" s="5" t="s">
        <v>70</v>
      </c>
      <c r="D44" s="20"/>
      <c r="E44" s="5"/>
      <c r="F44" s="36">
        <f>F47+F49</f>
        <v>13519.9</v>
      </c>
      <c r="G44" s="8"/>
    </row>
    <row r="45" spans="1:7" ht="15" customHeight="1" x14ac:dyDescent="0.25">
      <c r="A45" s="43" t="s">
        <v>71</v>
      </c>
      <c r="B45" s="43"/>
      <c r="C45" s="5"/>
      <c r="D45" s="20"/>
      <c r="E45" s="5"/>
      <c r="F45" s="20">
        <v>1222.3600000000001</v>
      </c>
      <c r="G45" s="8"/>
    </row>
    <row r="46" spans="1:7" ht="15" customHeight="1" x14ac:dyDescent="0.25">
      <c r="A46" s="42" t="s">
        <v>72</v>
      </c>
      <c r="B46" s="42"/>
      <c r="C46" s="5" t="s">
        <v>73</v>
      </c>
      <c r="D46" s="20">
        <f>D45+D44</f>
        <v>0</v>
      </c>
      <c r="E46" s="5"/>
      <c r="F46" s="20">
        <f>F45+F44</f>
        <v>14742.26</v>
      </c>
      <c r="G46" s="8"/>
    </row>
    <row r="47" spans="1:7" ht="15" customHeight="1" x14ac:dyDescent="0.25">
      <c r="A47" s="42" t="s">
        <v>74</v>
      </c>
      <c r="B47" s="42"/>
      <c r="C47" s="5" t="s">
        <v>75</v>
      </c>
      <c r="D47" s="20"/>
      <c r="E47" s="5"/>
      <c r="F47" s="20">
        <f>F17+F21</f>
        <v>10261.24</v>
      </c>
      <c r="G47" s="8"/>
    </row>
    <row r="48" spans="1:7" ht="15" customHeight="1" x14ac:dyDescent="0.25">
      <c r="A48" s="42" t="s">
        <v>76</v>
      </c>
      <c r="B48" s="42"/>
      <c r="C48" s="5" t="s">
        <v>77</v>
      </c>
      <c r="D48" s="20">
        <f>D47+D45</f>
        <v>0</v>
      </c>
      <c r="E48" s="5"/>
      <c r="F48" s="20">
        <f>F47+F45</f>
        <v>11483.6</v>
      </c>
      <c r="G48" s="8"/>
    </row>
    <row r="49" spans="1:7" ht="15" customHeight="1" x14ac:dyDescent="0.25">
      <c r="A49" s="42" t="s">
        <v>78</v>
      </c>
      <c r="B49" s="42"/>
      <c r="C49" s="6" t="s">
        <v>79</v>
      </c>
      <c r="D49" s="19"/>
      <c r="E49" s="6"/>
      <c r="F49" s="19">
        <v>3258.66</v>
      </c>
      <c r="G49" s="7"/>
    </row>
    <row r="50" spans="1:7" ht="15" customHeight="1" x14ac:dyDescent="0.25">
      <c r="A50" s="43" t="s">
        <v>80</v>
      </c>
      <c r="B50" s="43"/>
      <c r="C50" s="5" t="s">
        <v>81</v>
      </c>
      <c r="D50" s="20"/>
      <c r="E50" s="5"/>
      <c r="F50" s="20">
        <v>4534.37</v>
      </c>
      <c r="G50" s="10"/>
    </row>
    <row r="51" spans="1:7" ht="15" customHeight="1" x14ac:dyDescent="0.25">
      <c r="A51" s="42" t="s">
        <v>82</v>
      </c>
      <c r="B51" s="42"/>
      <c r="C51" s="6"/>
      <c r="D51" s="19" t="str">
        <f>IFERROR(D14/D47,"Brak danych")</f>
        <v>Brak danych</v>
      </c>
      <c r="E51" s="6"/>
      <c r="F51" s="19">
        <f>IFERROR(F14/F47,"Brak danych")</f>
        <v>0.89711087548873236</v>
      </c>
      <c r="G51" s="9"/>
    </row>
    <row r="52" spans="1:7" ht="15" customHeight="1" x14ac:dyDescent="0.25">
      <c r="A52" s="42" t="s">
        <v>83</v>
      </c>
      <c r="B52" s="42"/>
      <c r="C52" s="6"/>
      <c r="D52" s="19" t="str">
        <f>IFERROR(D14/D48,"Brak danych")</f>
        <v>Brak danych</v>
      </c>
      <c r="E52" s="6"/>
      <c r="F52" s="19">
        <f>IFERROR(F14/F48,"Brak danych")</f>
        <v>0.80161883033195158</v>
      </c>
      <c r="G52" s="9"/>
    </row>
    <row r="53" spans="1:7" ht="15" customHeight="1" x14ac:dyDescent="0.25">
      <c r="A53" s="42" t="s">
        <v>84</v>
      </c>
      <c r="B53" s="42"/>
      <c r="C53" s="6"/>
      <c r="D53" s="19" t="str">
        <f>IFERROR(D14/D44,"Brak danych")</f>
        <v>Brak danych</v>
      </c>
      <c r="E53" s="6"/>
      <c r="F53" s="19">
        <f>IFERROR(F14/F44,"Brak danych")</f>
        <v>0.68088299469670632</v>
      </c>
      <c r="G53" s="9"/>
    </row>
    <row r="54" spans="1:7" ht="15" customHeight="1" x14ac:dyDescent="0.25">
      <c r="A54" s="42" t="s">
        <v>85</v>
      </c>
      <c r="B54" s="42"/>
      <c r="C54" s="6"/>
      <c r="D54" s="19" t="str">
        <f>IFERROR(D14/D46,"Brak danych")</f>
        <v>Brak danych</v>
      </c>
      <c r="E54" s="6"/>
      <c r="F54" s="19">
        <f>IFERROR(F14/F46,"Brak danych")</f>
        <v>0.62442732661070954</v>
      </c>
      <c r="G54" s="9"/>
    </row>
    <row r="55" spans="1:7" ht="15" customHeight="1" x14ac:dyDescent="0.25">
      <c r="A55" s="42" t="s">
        <v>86</v>
      </c>
      <c r="B55" s="42"/>
      <c r="C55" s="6"/>
      <c r="D55" s="19" t="str">
        <f>IFERROR(D49/D27,"Brak danych")</f>
        <v>Brak danych</v>
      </c>
      <c r="E55" s="6"/>
      <c r="F55" s="19">
        <f>IFERROR(F49/F27,"Brak danych")</f>
        <v>29.357297297297297</v>
      </c>
      <c r="G55" s="9"/>
    </row>
    <row r="56" spans="1:7" ht="15" customHeight="1" x14ac:dyDescent="0.25">
      <c r="A56" s="42" t="s">
        <v>87</v>
      </c>
      <c r="B56" s="42"/>
      <c r="C56" s="6"/>
      <c r="D56" s="19" t="str">
        <f>IFERROR(D14/D4,"Brak danych")</f>
        <v>Brak danych</v>
      </c>
      <c r="E56" s="6"/>
      <c r="F56" s="19">
        <f>IFERROR(F14/F4,"Brak danych")</f>
        <v>0.7401680469566615</v>
      </c>
      <c r="G56" s="9"/>
    </row>
    <row r="57" spans="1:7" ht="15" customHeight="1" x14ac:dyDescent="0.25">
      <c r="A57" s="42" t="s">
        <v>88</v>
      </c>
      <c r="B57" s="42"/>
      <c r="C57" s="6"/>
      <c r="D57" s="19" t="str">
        <f>IFERROR(D14/D37,"Brak danych")</f>
        <v>Brak danych</v>
      </c>
      <c r="E57" s="6"/>
      <c r="F57" s="19">
        <f>IFERROR(F14/F37,"Brak danych")</f>
        <v>3068.49</v>
      </c>
      <c r="G57" s="9"/>
    </row>
    <row r="58" spans="1:7" ht="15" customHeight="1" x14ac:dyDescent="0.25">
      <c r="A58" s="42" t="s">
        <v>86</v>
      </c>
      <c r="B58" s="42"/>
      <c r="C58" s="6"/>
      <c r="D58" s="19" t="str">
        <f>IFERROR(D49/D27,"Brak danych")</f>
        <v>Brak danych</v>
      </c>
      <c r="E58" s="6"/>
      <c r="F58" s="19">
        <f>IFERROR(F49/F27,"Brak danych")</f>
        <v>29.357297297297297</v>
      </c>
      <c r="G58" s="9"/>
    </row>
    <row r="59" spans="1:7" ht="15" customHeight="1" x14ac:dyDescent="0.25">
      <c r="A59" s="42" t="s">
        <v>89</v>
      </c>
      <c r="B59" s="42"/>
      <c r="C59" s="6"/>
      <c r="D59" s="19" t="str">
        <f>IFERROR(D16/D43,"Brak danych")</f>
        <v>Brak danych</v>
      </c>
      <c r="E59" s="6"/>
      <c r="F59" s="19">
        <f>IFERROR(F16/F43,"Brak danych")</f>
        <v>57</v>
      </c>
      <c r="G59" s="9"/>
    </row>
    <row r="60" spans="1:7" ht="15" customHeight="1" x14ac:dyDescent="0.25">
      <c r="A60" s="42" t="s">
        <v>90</v>
      </c>
      <c r="B60" s="42"/>
      <c r="C60" s="6"/>
      <c r="D60" s="19" t="str">
        <f>IFERROR(D44/D49,"Brak danych")</f>
        <v>Brak danych</v>
      </c>
      <c r="E60" s="6"/>
      <c r="F60" s="19">
        <f>IFERROR(F44/F49,"Brak danych")</f>
        <v>4.148913970773263</v>
      </c>
      <c r="G60" s="9"/>
    </row>
    <row r="61" spans="1:7" ht="15" customHeight="1" x14ac:dyDescent="0.25">
      <c r="A61" s="42" t="s">
        <v>91</v>
      </c>
      <c r="B61" s="42"/>
      <c r="C61" s="6"/>
      <c r="D61" s="25" t="str">
        <f>IFERROR(D16/D37,"Brak danych")</f>
        <v>Brak danych</v>
      </c>
      <c r="E61" s="6"/>
      <c r="F61" s="25">
        <f>IFERROR(F16/F37,"Brak danych")</f>
        <v>57</v>
      </c>
      <c r="G61" s="9"/>
    </row>
    <row r="62" spans="1:7" ht="15" customHeight="1" x14ac:dyDescent="0.25">
      <c r="A62" s="42" t="s">
        <v>92</v>
      </c>
      <c r="B62" s="42"/>
      <c r="C62" s="6"/>
      <c r="D62" s="19" t="str">
        <f>IFERROR(D50/D14,"Brak danych")</f>
        <v>Brak danych</v>
      </c>
      <c r="E62" s="6"/>
      <c r="F62" s="19">
        <f>IFERROR(F50/F14,"Brak danych")</f>
        <v>0.49257343731498776</v>
      </c>
      <c r="G62" s="9"/>
    </row>
    <row r="63" spans="1:7" ht="15" customHeight="1" x14ac:dyDescent="0.25">
      <c r="A63" s="48"/>
      <c r="B63" s="48"/>
      <c r="C63" s="6"/>
      <c r="D63" s="19"/>
      <c r="E63" s="6"/>
      <c r="F63" s="19"/>
      <c r="G63" s="9"/>
    </row>
    <row r="64" spans="1:7" s="12" customFormat="1" x14ac:dyDescent="0.25">
      <c r="B64" s="13"/>
      <c r="C64" s="14"/>
      <c r="D64" s="21"/>
      <c r="E64" s="14"/>
      <c r="F64" s="21"/>
    </row>
    <row r="65" spans="1:7" ht="45" customHeight="1" x14ac:dyDescent="0.25">
      <c r="A65" s="49" t="s">
        <v>93</v>
      </c>
      <c r="B65" s="49"/>
      <c r="C65" s="15"/>
      <c r="D65" s="22"/>
      <c r="E65" s="15"/>
      <c r="F65" s="22"/>
      <c r="G65" s="16"/>
    </row>
    <row r="66" spans="1:7" x14ac:dyDescent="0.25">
      <c r="A66" s="12"/>
    </row>
    <row r="67" spans="1:7" x14ac:dyDescent="0.25">
      <c r="A67" s="12"/>
    </row>
  </sheetData>
  <mergeCells count="63">
    <mergeCell ref="A7:B7"/>
    <mergeCell ref="A2:G2"/>
    <mergeCell ref="A3:B3"/>
    <mergeCell ref="A4:B4"/>
    <mergeCell ref="A5:B5"/>
    <mergeCell ref="A6:B6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43:B43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55:B55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62:B62"/>
    <mergeCell ref="A63:B63"/>
    <mergeCell ref="A65:B65"/>
    <mergeCell ref="A56:B56"/>
    <mergeCell ref="A57:B57"/>
    <mergeCell ref="A58:B58"/>
    <mergeCell ref="A59:B59"/>
    <mergeCell ref="A60:B60"/>
    <mergeCell ref="A61:B61"/>
  </mergeCells>
  <conditionalFormatting sqref="D4:G12 D13:E13 G13 D14:G37 D38:E42 G38:G42 D43:G43 D44:E44 G44 D45:G50">
    <cfRule type="containsBlanks" dxfId="3" priority="4">
      <formula>LEN(TRIM(D4))=0</formula>
    </cfRule>
  </conditionalFormatting>
  <conditionalFormatting sqref="F13">
    <cfRule type="containsBlanks" dxfId="2" priority="3">
      <formula>LEN(TRIM(F13))=0</formula>
    </cfRule>
  </conditionalFormatting>
  <conditionalFormatting sqref="F38:F42">
    <cfRule type="containsBlanks" dxfId="1" priority="2">
      <formula>LEN(TRIM(F38))=0</formula>
    </cfRule>
  </conditionalFormatting>
  <conditionalFormatting sqref="F44">
    <cfRule type="containsBlanks" dxfId="0" priority="1">
      <formula>LEN(TRIM(F44))=0</formula>
    </cfRule>
  </conditionalFormatting>
  <pageMargins left="0.7" right="0.7" top="0.75" bottom="0.75" header="0.51180555555555496" footer="0.51180555555555496"/>
  <pageSetup paperSize="9" scale="59" firstPageNumber="0" orientation="portrait" horizontalDpi="300" verticalDpi="300" r:id="rId1"/>
  <colBreaks count="1" manualBreakCount="1">
    <brk id="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97366-2202-4713-B0C1-60B37741A8EA}">
  <dimension ref="A4:E63"/>
  <sheetViews>
    <sheetView topLeftCell="A22" workbookViewId="0">
      <selection activeCell="C22" sqref="C1:C1048576"/>
    </sheetView>
  </sheetViews>
  <sheetFormatPr defaultRowHeight="15" x14ac:dyDescent="0.25"/>
  <cols>
    <col min="2" max="2" width="66.5703125" customWidth="1"/>
    <col min="3" max="3" width="0" hidden="1" customWidth="1"/>
  </cols>
  <sheetData>
    <row r="4" spans="1:2" x14ac:dyDescent="0.25">
      <c r="A4" s="44" t="s">
        <v>7</v>
      </c>
      <c r="B4" s="44" t="s">
        <v>8</v>
      </c>
    </row>
    <row r="5" spans="1:2" x14ac:dyDescent="0.25">
      <c r="A5" s="44" t="s">
        <v>10</v>
      </c>
      <c r="B5" s="44"/>
    </row>
    <row r="6" spans="1:2" x14ac:dyDescent="0.25">
      <c r="A6" s="44" t="s">
        <v>11</v>
      </c>
      <c r="B6" s="44"/>
    </row>
    <row r="7" spans="1:2" x14ac:dyDescent="0.25">
      <c r="A7" s="43" t="s">
        <v>12</v>
      </c>
      <c r="B7" s="43"/>
    </row>
    <row r="8" spans="1:2" x14ac:dyDescent="0.25">
      <c r="A8" s="43" t="s">
        <v>13</v>
      </c>
      <c r="B8" s="43"/>
    </row>
    <row r="9" spans="1:2" x14ac:dyDescent="0.25">
      <c r="A9" s="44" t="s">
        <v>14</v>
      </c>
      <c r="B9" s="44"/>
    </row>
    <row r="10" spans="1:2" x14ac:dyDescent="0.25">
      <c r="A10" s="43" t="s">
        <v>15</v>
      </c>
      <c r="B10" s="43"/>
    </row>
    <row r="11" spans="1:2" x14ac:dyDescent="0.25">
      <c r="A11" s="43" t="s">
        <v>16</v>
      </c>
      <c r="B11" s="43"/>
    </row>
    <row r="12" spans="1:2" x14ac:dyDescent="0.25">
      <c r="A12" s="43" t="s">
        <v>17</v>
      </c>
      <c r="B12" s="43"/>
    </row>
    <row r="13" spans="1:2" x14ac:dyDescent="0.25">
      <c r="A13" s="44" t="s">
        <v>18</v>
      </c>
      <c r="B13" s="44"/>
    </row>
    <row r="14" spans="1:2" x14ac:dyDescent="0.25">
      <c r="A14" s="42" t="s">
        <v>19</v>
      </c>
      <c r="B14" s="42"/>
    </row>
    <row r="15" spans="1:2" x14ac:dyDescent="0.25">
      <c r="A15" s="42" t="s">
        <v>21</v>
      </c>
      <c r="B15" s="42"/>
    </row>
    <row r="16" spans="1:2" x14ac:dyDescent="0.25">
      <c r="A16" s="43" t="s">
        <v>23</v>
      </c>
      <c r="B16" s="43" t="s">
        <v>8</v>
      </c>
    </row>
    <row r="17" spans="1:2" x14ac:dyDescent="0.25">
      <c r="A17" s="43" t="s">
        <v>25</v>
      </c>
      <c r="B17" s="43" t="s">
        <v>26</v>
      </c>
    </row>
    <row r="18" spans="1:2" x14ac:dyDescent="0.25">
      <c r="A18" s="45" t="s">
        <v>28</v>
      </c>
      <c r="B18" s="45" t="s">
        <v>29</v>
      </c>
    </row>
    <row r="19" spans="1:2" x14ac:dyDescent="0.25">
      <c r="A19" s="43" t="s">
        <v>31</v>
      </c>
      <c r="B19" s="43" t="s">
        <v>32</v>
      </c>
    </row>
    <row r="20" spans="1:2" x14ac:dyDescent="0.25">
      <c r="A20" s="43" t="s">
        <v>34</v>
      </c>
      <c r="B20" s="43" t="s">
        <v>35</v>
      </c>
    </row>
    <row r="21" spans="1:2" x14ac:dyDescent="0.25">
      <c r="A21" s="44" t="s">
        <v>37</v>
      </c>
      <c r="B21" s="44" t="s">
        <v>38</v>
      </c>
    </row>
    <row r="22" spans="1:2" x14ac:dyDescent="0.25">
      <c r="A22" s="43" t="s">
        <v>39</v>
      </c>
      <c r="B22" s="43" t="s">
        <v>38</v>
      </c>
    </row>
    <row r="23" spans="1:2" x14ac:dyDescent="0.25">
      <c r="A23" s="42" t="s">
        <v>40</v>
      </c>
      <c r="B23" s="42"/>
    </row>
    <row r="24" spans="1:2" x14ac:dyDescent="0.25">
      <c r="A24" s="44" t="s">
        <v>42</v>
      </c>
      <c r="B24" s="44"/>
    </row>
    <row r="25" spans="1:2" x14ac:dyDescent="0.25">
      <c r="A25" s="43" t="s">
        <v>43</v>
      </c>
      <c r="B25" s="43" t="s">
        <v>38</v>
      </c>
    </row>
    <row r="26" spans="1:2" x14ac:dyDescent="0.25">
      <c r="A26" s="43" t="s">
        <v>44</v>
      </c>
      <c r="B26" s="43" t="s">
        <v>38</v>
      </c>
    </row>
    <row r="27" spans="1:2" x14ac:dyDescent="0.25">
      <c r="A27" s="43" t="s">
        <v>46</v>
      </c>
      <c r="B27" s="43"/>
    </row>
    <row r="28" spans="1:2" x14ac:dyDescent="0.25">
      <c r="A28" s="43" t="s">
        <v>48</v>
      </c>
      <c r="B28" s="43"/>
    </row>
    <row r="29" spans="1:2" x14ac:dyDescent="0.25">
      <c r="A29" s="43" t="s">
        <v>49</v>
      </c>
      <c r="B29" s="43"/>
    </row>
    <row r="30" spans="1:2" x14ac:dyDescent="0.25">
      <c r="A30" s="42" t="s">
        <v>50</v>
      </c>
      <c r="B30" s="42"/>
    </row>
    <row r="31" spans="1:2" x14ac:dyDescent="0.25">
      <c r="A31" s="43" t="s">
        <v>52</v>
      </c>
      <c r="B31" s="43"/>
    </row>
    <row r="32" spans="1:2" x14ac:dyDescent="0.25">
      <c r="A32" s="43" t="s">
        <v>54</v>
      </c>
      <c r="B32" s="43"/>
    </row>
    <row r="33" spans="1:5" x14ac:dyDescent="0.25">
      <c r="A33" s="43" t="s">
        <v>55</v>
      </c>
      <c r="B33" s="43"/>
    </row>
    <row r="34" spans="1:5" x14ac:dyDescent="0.25">
      <c r="A34" s="43" t="s">
        <v>56</v>
      </c>
      <c r="B34" s="43"/>
    </row>
    <row r="35" spans="1:5" x14ac:dyDescent="0.25">
      <c r="A35" s="43" t="s">
        <v>57</v>
      </c>
      <c r="B35" s="43"/>
    </row>
    <row r="36" spans="1:5" x14ac:dyDescent="0.25">
      <c r="A36" s="43" t="s">
        <v>58</v>
      </c>
      <c r="B36" s="43"/>
    </row>
    <row r="37" spans="1:5" x14ac:dyDescent="0.25">
      <c r="A37" s="44" t="s">
        <v>60</v>
      </c>
      <c r="B37" s="44"/>
    </row>
    <row r="38" spans="1:5" x14ac:dyDescent="0.25">
      <c r="A38" s="43" t="s">
        <v>62</v>
      </c>
      <c r="B38" s="43"/>
    </row>
    <row r="39" spans="1:5" x14ac:dyDescent="0.25">
      <c r="A39" s="43" t="s">
        <v>63</v>
      </c>
      <c r="B39" s="43"/>
    </row>
    <row r="40" spans="1:5" x14ac:dyDescent="0.25">
      <c r="A40" s="43" t="s">
        <v>64</v>
      </c>
      <c r="B40" s="43"/>
    </row>
    <row r="41" spans="1:5" x14ac:dyDescent="0.25">
      <c r="A41" s="43" t="s">
        <v>65</v>
      </c>
      <c r="B41" s="43"/>
    </row>
    <row r="42" spans="1:5" x14ac:dyDescent="0.25">
      <c r="A42" s="43" t="s">
        <v>66</v>
      </c>
      <c r="B42" s="43"/>
    </row>
    <row r="43" spans="1:5" x14ac:dyDescent="0.25">
      <c r="A43" s="43" t="s">
        <v>67</v>
      </c>
      <c r="B43" s="43"/>
    </row>
    <row r="44" spans="1:5" x14ac:dyDescent="0.25">
      <c r="A44" s="42" t="s">
        <v>69</v>
      </c>
      <c r="B44" s="42"/>
      <c r="C44" s="37">
        <f>'etap 4'!F44</f>
        <v>12794.830000000002</v>
      </c>
      <c r="D44" s="38">
        <f>'etap 5'!F44</f>
        <v>9582.73</v>
      </c>
      <c r="E44" s="39">
        <f>'etap 6'!F44</f>
        <v>13519.9</v>
      </c>
    </row>
    <row r="45" spans="1:5" x14ac:dyDescent="0.25">
      <c r="A45" s="43" t="s">
        <v>71</v>
      </c>
      <c r="B45" s="43"/>
      <c r="C45" s="37">
        <f>'etap 4'!F45</f>
        <v>1144.76</v>
      </c>
      <c r="D45" s="38">
        <f>'etap 5'!F45</f>
        <v>835.96</v>
      </c>
      <c r="E45" s="39">
        <f>'etap 6'!F45</f>
        <v>1222.3600000000001</v>
      </c>
    </row>
    <row r="46" spans="1:5" x14ac:dyDescent="0.25">
      <c r="A46" s="42" t="s">
        <v>72</v>
      </c>
      <c r="B46" s="42"/>
      <c r="C46" s="37">
        <f>'etap 4'!F46</f>
        <v>13939.590000000002</v>
      </c>
      <c r="D46" s="38">
        <f>'etap 5'!F46</f>
        <v>10418.689999999999</v>
      </c>
      <c r="E46" s="39">
        <f>'etap 6'!F46</f>
        <v>14742.26</v>
      </c>
    </row>
    <row r="47" spans="1:5" x14ac:dyDescent="0.25">
      <c r="A47" s="42" t="s">
        <v>74</v>
      </c>
      <c r="B47" s="42"/>
      <c r="C47" s="37">
        <f>'etap 4'!F47</f>
        <v>9690.2000000000007</v>
      </c>
      <c r="D47" s="38">
        <f>'etap 5'!F47</f>
        <v>6979.39</v>
      </c>
      <c r="E47" s="39">
        <f>'etap 6'!F47</f>
        <v>10261.24</v>
      </c>
    </row>
    <row r="48" spans="1:5" x14ac:dyDescent="0.25">
      <c r="A48" s="42" t="s">
        <v>76</v>
      </c>
      <c r="B48" s="42"/>
      <c r="C48" s="37">
        <f>'etap 4'!F48</f>
        <v>10834.960000000001</v>
      </c>
      <c r="D48" s="38">
        <f>'etap 5'!F48</f>
        <v>7815.35</v>
      </c>
      <c r="E48" s="39">
        <f>'etap 6'!F48</f>
        <v>11483.6</v>
      </c>
    </row>
    <row r="49" spans="1:5" x14ac:dyDescent="0.25">
      <c r="A49" s="42" t="s">
        <v>78</v>
      </c>
      <c r="B49" s="42"/>
      <c r="C49" s="37">
        <f>'etap 4'!F49</f>
        <v>3104.63</v>
      </c>
      <c r="D49" s="38">
        <f>'etap 5'!F49</f>
        <v>2603.34</v>
      </c>
      <c r="E49" s="39">
        <f>'etap 6'!F49</f>
        <v>3258.66</v>
      </c>
    </row>
    <row r="50" spans="1:5" x14ac:dyDescent="0.25">
      <c r="A50" s="43" t="s">
        <v>80</v>
      </c>
      <c r="B50" s="43"/>
      <c r="C50" s="37">
        <f>'etap 4'!F50</f>
        <v>4360.7699999999995</v>
      </c>
      <c r="D50" s="38">
        <f>'etap 5'!F50</f>
        <v>3099.17</v>
      </c>
      <c r="E50" s="39">
        <f>'etap 6'!F50</f>
        <v>4534.37</v>
      </c>
    </row>
    <row r="51" spans="1:5" x14ac:dyDescent="0.25">
      <c r="A51" s="42" t="s">
        <v>82</v>
      </c>
      <c r="B51" s="42"/>
      <c r="C51" s="37">
        <f>'etap 4'!F51</f>
        <v>0.89600421043941303</v>
      </c>
      <c r="D51" s="38">
        <f>'etap 5'!F51</f>
        <v>0.89333451777304318</v>
      </c>
      <c r="E51" s="39">
        <f>'etap 6'!F51</f>
        <v>0.89711087548873236</v>
      </c>
    </row>
    <row r="52" spans="1:5" x14ac:dyDescent="0.25">
      <c r="A52" s="42" t="s">
        <v>83</v>
      </c>
      <c r="B52" s="42"/>
      <c r="C52" s="37">
        <f>'etap 4'!F52</f>
        <v>0.80133752224281407</v>
      </c>
      <c r="D52" s="38">
        <f>'etap 5'!F52</f>
        <v>0.79778000985240582</v>
      </c>
      <c r="E52" s="39">
        <f>'etap 6'!F52</f>
        <v>0.80161883033195158</v>
      </c>
    </row>
    <row r="53" spans="1:5" x14ac:dyDescent="0.25">
      <c r="A53" s="42" t="s">
        <v>84</v>
      </c>
      <c r="B53" s="42"/>
      <c r="C53" s="37">
        <f>'etap 4'!F53</f>
        <v>0.67859127475706982</v>
      </c>
      <c r="D53" s="38">
        <f>'etap 5'!F53</f>
        <v>0.65064235348381938</v>
      </c>
      <c r="E53" s="39">
        <f>'etap 6'!F53</f>
        <v>0.68088299469670632</v>
      </c>
    </row>
    <row r="54" spans="1:5" x14ac:dyDescent="0.25">
      <c r="A54" s="42" t="s">
        <v>85</v>
      </c>
      <c r="B54" s="42"/>
      <c r="C54" s="37">
        <f>'etap 4'!F54</f>
        <v>0.62286336972608236</v>
      </c>
      <c r="D54" s="38">
        <f>'etap 5'!F54</f>
        <v>0.59843703958943029</v>
      </c>
      <c r="E54" s="39">
        <f>'etap 6'!F54</f>
        <v>0.62442732661070954</v>
      </c>
    </row>
    <row r="55" spans="1:5" x14ac:dyDescent="0.25">
      <c r="A55" s="42" t="s">
        <v>86</v>
      </c>
      <c r="B55" s="42"/>
      <c r="C55" s="37">
        <f>'etap 4'!F55</f>
        <v>29.567904761904764</v>
      </c>
      <c r="D55" s="38">
        <f>'etap 5'!F55</f>
        <v>27.695106382978725</v>
      </c>
      <c r="E55" s="39">
        <f>'etap 6'!F55</f>
        <v>29.357297297297297</v>
      </c>
    </row>
    <row r="56" spans="1:5" x14ac:dyDescent="0.25">
      <c r="A56" s="42" t="s">
        <v>87</v>
      </c>
      <c r="B56" s="42"/>
      <c r="C56" s="37">
        <f>'etap 4'!F56</f>
        <v>0.56416244314489938</v>
      </c>
      <c r="D56" s="38">
        <f>'etap 5'!F56</f>
        <v>0.72676652290476751</v>
      </c>
      <c r="E56" s="39">
        <f>'etap 6'!F56</f>
        <v>0.7401680469566615</v>
      </c>
    </row>
    <row r="57" spans="1:5" x14ac:dyDescent="0.25">
      <c r="A57" s="42" t="s">
        <v>88</v>
      </c>
      <c r="B57" s="42"/>
      <c r="C57" s="37">
        <f>'etap 4'!F57</f>
        <v>2894.1533333333336</v>
      </c>
      <c r="D57" s="38">
        <f>'etap 5'!F57</f>
        <v>3117.4650000000001</v>
      </c>
      <c r="E57" s="39">
        <f>'etap 6'!F57</f>
        <v>3068.49</v>
      </c>
    </row>
    <row r="58" spans="1:5" x14ac:dyDescent="0.25">
      <c r="A58" s="42" t="s">
        <v>86</v>
      </c>
      <c r="B58" s="42"/>
      <c r="C58" s="37">
        <f>'etap 4'!F58</f>
        <v>29.567904761904764</v>
      </c>
      <c r="D58" s="38">
        <f>'etap 5'!F58</f>
        <v>27.695106382978725</v>
      </c>
      <c r="E58" s="39">
        <f>'etap 6'!F58</f>
        <v>29.357297297297297</v>
      </c>
    </row>
    <row r="59" spans="1:5" x14ac:dyDescent="0.25">
      <c r="A59" s="42" t="s">
        <v>89</v>
      </c>
      <c r="B59" s="42"/>
      <c r="C59" s="37">
        <f>'etap 4'!F59</f>
        <v>53.333333333333336</v>
      </c>
      <c r="D59" s="38">
        <f>'etap 5'!F59</f>
        <v>57</v>
      </c>
      <c r="E59" s="39">
        <f>'etap 6'!F59</f>
        <v>57</v>
      </c>
    </row>
    <row r="60" spans="1:5" x14ac:dyDescent="0.25">
      <c r="A60" s="42" t="s">
        <v>90</v>
      </c>
      <c r="B60" s="42"/>
      <c r="C60" s="37">
        <f>'etap 4'!F60</f>
        <v>4.1212092906401088</v>
      </c>
      <c r="D60" s="38">
        <f>'etap 5'!F60</f>
        <v>3.680936796576705</v>
      </c>
      <c r="E60" s="39">
        <f>'etap 6'!F60</f>
        <v>4.148913970773263</v>
      </c>
    </row>
    <row r="61" spans="1:5" x14ac:dyDescent="0.25">
      <c r="A61" s="42" t="s">
        <v>91</v>
      </c>
      <c r="B61" s="42"/>
      <c r="C61" s="37">
        <f>'etap 4'!F61</f>
        <v>53.333333333333336</v>
      </c>
      <c r="D61" s="38">
        <f>'etap 5'!F61</f>
        <v>57</v>
      </c>
      <c r="E61" s="39">
        <f>'etap 6'!F61</f>
        <v>57</v>
      </c>
    </row>
    <row r="62" spans="1:5" x14ac:dyDescent="0.25">
      <c r="A62" s="42" t="s">
        <v>92</v>
      </c>
      <c r="B62" s="42"/>
      <c r="C62" s="37">
        <f>'etap 4'!F62</f>
        <v>0.50225051425517642</v>
      </c>
      <c r="D62" s="38">
        <f>'etap 5'!F62</f>
        <v>0.49706572487582057</v>
      </c>
      <c r="E62" s="39">
        <f>'etap 6'!F62</f>
        <v>0.49257343731498776</v>
      </c>
    </row>
    <row r="63" spans="1:5" x14ac:dyDescent="0.25">
      <c r="C63" s="40">
        <v>4</v>
      </c>
      <c r="D63" s="41">
        <v>5</v>
      </c>
      <c r="E63" s="41">
        <v>6</v>
      </c>
    </row>
  </sheetData>
  <mergeCells count="59">
    <mergeCell ref="A9:B9"/>
    <mergeCell ref="A4:B4"/>
    <mergeCell ref="A5:B5"/>
    <mergeCell ref="A6:B6"/>
    <mergeCell ref="A7:B7"/>
    <mergeCell ref="A8:B8"/>
    <mergeCell ref="A21:B21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33:B33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45:B45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57:B57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8:B58"/>
    <mergeCell ref="A59:B59"/>
    <mergeCell ref="A60:B60"/>
    <mergeCell ref="A61:B61"/>
    <mergeCell ref="A62:B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236</TotalTime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etap 4</vt:lpstr>
      <vt:lpstr>etap 5</vt:lpstr>
      <vt:lpstr>etap 6</vt:lpstr>
      <vt:lpstr>zest</vt:lpstr>
      <vt:lpstr>'etap 4'!Obszar_wydruku</vt:lpstr>
      <vt:lpstr>'etap 5'!Obszar_wydruku</vt:lpstr>
      <vt:lpstr>'etap 6'!Obszar_wydruku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Dorota Wnorowska</dc:creator>
  <dc:description/>
  <cp:lastModifiedBy>Julia Łukaszewicz</cp:lastModifiedBy>
  <cp:revision>17</cp:revision>
  <dcterms:created xsi:type="dcterms:W3CDTF">2022-09-09T11:27:41Z</dcterms:created>
  <dcterms:modified xsi:type="dcterms:W3CDTF">2026-09-25T06:25:15Z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