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eveliapl-my.sharepoint.com/personal/tobar_develia_pl/Documents/DKP - WSPÓLNY/__DKP - PODSUMOWANIE 2026/KPI - WSKAZNIKI/BemowoVita/"/>
    </mc:Choice>
  </mc:AlternateContent>
  <xr:revisionPtr revIDLastSave="9" documentId="13_ncr:1_{6799C3D1-8640-4E88-8EBA-048922F0FB24}" xr6:coauthVersionLast="47" xr6:coauthVersionMax="47" xr10:uidLastSave="{2DE2EABD-1ABF-45D0-B7E5-0A8B26AAAFEC}"/>
  <bookViews>
    <workbookView xWindow="-120" yWindow="-120" windowWidth="38640" windowHeight="21120" xr2:uid="{00000000-000D-0000-FFFF-FFFF00000000}"/>
  </bookViews>
  <sheets>
    <sheet name="Arkusz1" sheetId="1" r:id="rId1"/>
  </sheets>
  <definedNames>
    <definedName name="_xlnm.Print_Area" localSheetId="0">Arkusz1!$A$1:$J$125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G65" i="1"/>
  <c r="H65" i="1"/>
  <c r="I65" i="1"/>
  <c r="I29" i="1"/>
  <c r="F29" i="1"/>
  <c r="G29" i="1"/>
  <c r="H29" i="1"/>
  <c r="I28" i="1"/>
  <c r="I56" i="1"/>
  <c r="I13" i="1" l="1"/>
  <c r="I8" i="1"/>
  <c r="H13" i="1"/>
  <c r="H56" i="1"/>
  <c r="E53" i="1"/>
  <c r="F53" i="1"/>
  <c r="G53" i="1"/>
  <c r="I53" i="1"/>
  <c r="H53" i="1"/>
  <c r="H50" i="1"/>
  <c r="H20" i="1" l="1"/>
  <c r="G13" i="1"/>
  <c r="G11" i="1" s="1"/>
  <c r="G63" i="1" s="1"/>
  <c r="I35" i="1"/>
  <c r="H35" i="1"/>
  <c r="G35" i="1"/>
  <c r="F35" i="1"/>
  <c r="E35" i="1"/>
  <c r="I96" i="1"/>
  <c r="H96" i="1"/>
  <c r="G96" i="1"/>
  <c r="F96" i="1"/>
  <c r="E96" i="1"/>
  <c r="I95" i="1"/>
  <c r="H95" i="1"/>
  <c r="G95" i="1"/>
  <c r="F95" i="1"/>
  <c r="E95" i="1"/>
  <c r="I94" i="1"/>
  <c r="H94" i="1"/>
  <c r="G94" i="1"/>
  <c r="F94" i="1"/>
  <c r="E94" i="1"/>
  <c r="I93" i="1"/>
  <c r="H93" i="1"/>
  <c r="G93" i="1"/>
  <c r="F93" i="1"/>
  <c r="E93" i="1"/>
  <c r="I92" i="1"/>
  <c r="H92" i="1"/>
  <c r="G92" i="1"/>
  <c r="F92" i="1"/>
  <c r="E92" i="1"/>
  <c r="I91" i="1"/>
  <c r="H91" i="1"/>
  <c r="G91" i="1"/>
  <c r="F91" i="1"/>
  <c r="E91" i="1"/>
  <c r="G90" i="1"/>
  <c r="I89" i="1"/>
  <c r="H89" i="1"/>
  <c r="G89" i="1"/>
  <c r="F89" i="1"/>
  <c r="E89" i="1"/>
  <c r="I88" i="1"/>
  <c r="H88" i="1"/>
  <c r="G88" i="1"/>
  <c r="F88" i="1"/>
  <c r="E88" i="1"/>
  <c r="I87" i="1"/>
  <c r="H87" i="1"/>
  <c r="G87" i="1"/>
  <c r="F87" i="1"/>
  <c r="E87" i="1"/>
  <c r="I86" i="1"/>
  <c r="H86" i="1"/>
  <c r="G86" i="1"/>
  <c r="F86" i="1"/>
  <c r="E86" i="1"/>
  <c r="I85" i="1"/>
  <c r="H85" i="1"/>
  <c r="G85" i="1"/>
  <c r="F85" i="1"/>
  <c r="E85" i="1"/>
  <c r="G68" i="1"/>
  <c r="G67" i="1"/>
  <c r="I64" i="1"/>
  <c r="H64" i="1"/>
  <c r="G64" i="1"/>
  <c r="F64" i="1"/>
  <c r="E64" i="1"/>
  <c r="G36" i="1"/>
  <c r="G70" i="1"/>
  <c r="G20" i="1"/>
  <c r="G19" i="1" s="1"/>
  <c r="G66" i="1" l="1"/>
  <c r="G69" i="1"/>
  <c r="I50" i="1"/>
  <c r="F50" i="1"/>
  <c r="E50" i="1"/>
  <c r="I42" i="1"/>
  <c r="H42" i="1"/>
  <c r="F42" i="1"/>
  <c r="F40" i="1" s="1"/>
  <c r="E42" i="1"/>
  <c r="E40" i="1" s="1"/>
  <c r="I37" i="1"/>
  <c r="H37" i="1"/>
  <c r="F37" i="1"/>
  <c r="E37" i="1"/>
  <c r="I36" i="1"/>
  <c r="H36" i="1"/>
  <c r="F36" i="1"/>
  <c r="E36" i="1"/>
  <c r="E29" i="1"/>
  <c r="I20" i="1"/>
  <c r="I69" i="1" s="1"/>
  <c r="H69" i="1"/>
  <c r="F20" i="1"/>
  <c r="F69" i="1" s="1"/>
  <c r="E20" i="1"/>
  <c r="E69" i="1" s="1"/>
  <c r="F19" i="1"/>
  <c r="E19" i="1"/>
  <c r="I11" i="1"/>
  <c r="I63" i="1" s="1"/>
  <c r="H11" i="1"/>
  <c r="H63" i="1" s="1"/>
  <c r="F11" i="1"/>
  <c r="F63" i="1" s="1"/>
  <c r="E11" i="1"/>
  <c r="E63" i="1" s="1"/>
  <c r="I19" i="1" l="1"/>
  <c r="H19" i="1"/>
  <c r="H90" i="1"/>
  <c r="H68" i="1"/>
  <c r="H67" i="1"/>
  <c r="I67" i="1"/>
  <c r="I90" i="1"/>
  <c r="I68" i="1"/>
  <c r="E66" i="1"/>
  <c r="E70" i="1"/>
  <c r="E65" i="1"/>
  <c r="F66" i="1"/>
  <c r="F70" i="1"/>
  <c r="H66" i="1"/>
  <c r="H70" i="1"/>
  <c r="H40" i="1"/>
  <c r="I66" i="1"/>
  <c r="I70" i="1"/>
  <c r="I40" i="1"/>
  <c r="E67" i="1"/>
  <c r="E90" i="1"/>
  <c r="E68" i="1"/>
  <c r="F90" i="1"/>
  <c r="F68" i="1"/>
  <c r="F67" i="1"/>
</calcChain>
</file>

<file path=xl/sharedStrings.xml><?xml version="1.0" encoding="utf-8"?>
<sst xmlns="http://schemas.openxmlformats.org/spreadsheetml/2006/main" count="358" uniqueCount="336">
  <si>
    <t>Komórka do wypełnienia</t>
  </si>
  <si>
    <t>Komórka zawierająca formułę</t>
  </si>
  <si>
    <t>NIE ZMIENIAĆ</t>
  </si>
  <si>
    <t>FAZA OPRACOWANIA</t>
  </si>
  <si>
    <t>L.p.</t>
  </si>
  <si>
    <t>Parametr</t>
  </si>
  <si>
    <t>Opis</t>
  </si>
  <si>
    <t>PLANNING requirements</t>
  </si>
  <si>
    <t>KU</t>
  </si>
  <si>
    <t>APK</t>
  </si>
  <si>
    <t>WPK</t>
  </si>
  <si>
    <t>PB</t>
  </si>
  <si>
    <t>PW</t>
  </si>
  <si>
    <t>Uwagi / opis</t>
  </si>
  <si>
    <t>1.</t>
  </si>
  <si>
    <t>Parametry Działki</t>
  </si>
  <si>
    <t>Plot parameters</t>
  </si>
  <si>
    <t>1.1</t>
  </si>
  <si>
    <t>Powierzchnia działki (Pdz)</t>
  </si>
  <si>
    <t>Area of the Plot (Pt)</t>
  </si>
  <si>
    <t>1.2</t>
  </si>
  <si>
    <t>Powierzchnia działki objęta PnB (Pt)</t>
  </si>
  <si>
    <t>Area of the plot under building permit</t>
  </si>
  <si>
    <t>1.3</t>
  </si>
  <si>
    <t>Powierzchnia zabudowy (Pz)</t>
  </si>
  <si>
    <t>Building Footprint (Pz)</t>
  </si>
  <si>
    <t>1.4</t>
  </si>
  <si>
    <t>Powierzchnia biologicznie czynna (Pbc): (=(1.4.1+(1.4.2+1.4.3)/2))</t>
  </si>
  <si>
    <t>Biologically active area (Pbc): (=(1.4.1+(1.4.2+1.4.3)/2))</t>
  </si>
  <si>
    <t>1.4.1</t>
  </si>
  <si>
    <t>Powierzchnia zielona na gruncie rodzimym</t>
  </si>
  <si>
    <t>on natural ground</t>
  </si>
  <si>
    <t>1.4.2</t>
  </si>
  <si>
    <t>Powierzchnia zielona  na płycie garażu</t>
  </si>
  <si>
    <t>on garage</t>
  </si>
  <si>
    <t>1.4.3</t>
  </si>
  <si>
    <t>Powierzchnia zielona na dachu (dachy zielone)</t>
  </si>
  <si>
    <t xml:space="preserve">on Green roofs </t>
  </si>
  <si>
    <t>1.5.</t>
  </si>
  <si>
    <t>Powierzchnia chodników</t>
  </si>
  <si>
    <t>Area of walkways</t>
  </si>
  <si>
    <t>1.6.</t>
  </si>
  <si>
    <t>Powierzchnia dróg</t>
  </si>
  <si>
    <t>Area of roads</t>
  </si>
  <si>
    <t>1.7.</t>
  </si>
  <si>
    <t>Obwód działki</t>
  </si>
  <si>
    <t>Perimetr of the plot</t>
  </si>
  <si>
    <t>Obwód działki objętej PnB</t>
  </si>
  <si>
    <t>2.</t>
  </si>
  <si>
    <t>Parametry budynku</t>
  </si>
  <si>
    <t>Building parameters</t>
  </si>
  <si>
    <t>2.1</t>
  </si>
  <si>
    <t>Powierzchnia całkowita (Pc) (2.1.1+2.1.2)</t>
  </si>
  <si>
    <t>Gross area (Pc) (2.1.1+2.1.2)</t>
  </si>
  <si>
    <t>2.1.1</t>
  </si>
  <si>
    <t>Powierzchnia całkowita nadziemna (Pcn) (2.1.1.1 + 2.1.1.2 + 2.1.1.3)</t>
  </si>
  <si>
    <t>Overground Gross Area (Pcn)
(2.1.1.1 + 2.1.1.2 + 2.1.1.3)</t>
  </si>
  <si>
    <t>2.1.1.1</t>
  </si>
  <si>
    <t>Powierzchnia całkowita nadziemna zamknięta (Pcnz)</t>
  </si>
  <si>
    <t>Overground closed gross area (Pcnz)</t>
  </si>
  <si>
    <t>bez balkonów, loggi i tarasów</t>
  </si>
  <si>
    <t>2.1.1.2</t>
  </si>
  <si>
    <t>Powierzchnia loggi i balkonów (Plb)</t>
  </si>
  <si>
    <t>Rarea of balconies and loggias</t>
  </si>
  <si>
    <t>2.1.1.3</t>
  </si>
  <si>
    <t>Powierzchnia tarasów</t>
  </si>
  <si>
    <t>Area of terraces</t>
  </si>
  <si>
    <t>2.1.2</t>
  </si>
  <si>
    <t>Powierzchnia całkowita podziemna (Pcp)</t>
  </si>
  <si>
    <t>Underground gross area (Pcp)</t>
  </si>
  <si>
    <t>2.1.2.1</t>
  </si>
  <si>
    <t>Powierzchnia użytkowa hali garażowej</t>
  </si>
  <si>
    <t>Garaż usable area</t>
  </si>
  <si>
    <t>2.1.2.2</t>
  </si>
  <si>
    <t>Powierzchnia pomieszczeń technicznych w garażu</t>
  </si>
  <si>
    <t xml:space="preserve">Area of technical rooms in garage </t>
  </si>
  <si>
    <t>2.1.2.3</t>
  </si>
  <si>
    <t>Powierzchnia pomieszczeń technicznych nad ziemią</t>
  </si>
  <si>
    <t>Area of technical rooms over ground</t>
  </si>
  <si>
    <t>2.1.2.4</t>
  </si>
  <si>
    <t>Powierzchnia boksów rowerowych w garażu</t>
  </si>
  <si>
    <t>2.2</t>
  </si>
  <si>
    <t>Powierzchnia użytkowa (PUMiU)</t>
  </si>
  <si>
    <t>Usable area (PUMiU)</t>
  </si>
  <si>
    <t>2.2.1</t>
  </si>
  <si>
    <t>Powierzchnia użytkowa usług (PUU)</t>
  </si>
  <si>
    <t>Retail usable area (PUU)</t>
  </si>
  <si>
    <t>2.2.2</t>
  </si>
  <si>
    <t>Powierzchnia użytkowa mieszkań (PUM) wg ISO</t>
  </si>
  <si>
    <t>Housing usable area (PUM) wg ISO</t>
  </si>
  <si>
    <t>duży PUM</t>
  </si>
  <si>
    <t>2.2.2a</t>
  </si>
  <si>
    <t>Powierzchnia użytkowa mieszkań (PUM) wg PN-70/B-02365</t>
  </si>
  <si>
    <t>Housing usable area (PUM)</t>
  </si>
  <si>
    <t>mały PUM</t>
  </si>
  <si>
    <t>2.3.1</t>
  </si>
  <si>
    <t>Liczba mieszkań</t>
  </si>
  <si>
    <t>No of apartments</t>
  </si>
  <si>
    <t>2.3.2</t>
  </si>
  <si>
    <t>Liczba lokali usługowych</t>
  </si>
  <si>
    <t>No of retail units</t>
  </si>
  <si>
    <t>2.4.1</t>
  </si>
  <si>
    <t>Średnia powierzchnia mieszkania</t>
  </si>
  <si>
    <t>Average apartment area</t>
  </si>
  <si>
    <t>2.4.2.</t>
  </si>
  <si>
    <t>Średnia powierzchnia lokalu usługowego</t>
  </si>
  <si>
    <t>Average retail unit area</t>
  </si>
  <si>
    <t>2.5</t>
  </si>
  <si>
    <t>Liczba miejsc parkingowych wymaganych, w tym:</t>
  </si>
  <si>
    <t>No of required parking places, including:</t>
  </si>
  <si>
    <t>MIN. …</t>
  </si>
  <si>
    <t>2.5.1</t>
  </si>
  <si>
    <t>Liczba miejsc parkingowych dla usług</t>
  </si>
  <si>
    <t>No of pp for retail</t>
  </si>
  <si>
    <t>2.5.2</t>
  </si>
  <si>
    <t>Liczba miejsc parkingowych dla mieszkań</t>
  </si>
  <si>
    <t>No of pp for flats</t>
  </si>
  <si>
    <t>2.6</t>
  </si>
  <si>
    <t>Liczba miejsc parkingowych zaprojektowanych, w tym:</t>
  </si>
  <si>
    <t>2.6.1</t>
  </si>
  <si>
    <t>Liczba miejsc parkingowych w terenie</t>
  </si>
  <si>
    <t>No of pp on the ground</t>
  </si>
  <si>
    <t>2.6.2</t>
  </si>
  <si>
    <t>Liczba miejsc parkingowych w garażu, w tym: (2.6.2.1. + 2.6.2.2)</t>
  </si>
  <si>
    <t>No off pp in garage (2.6.2.1. + 2.6.2.2):</t>
  </si>
  <si>
    <t>2.6.2.1</t>
  </si>
  <si>
    <t>Liczba samochodów na platformach parkingowych</t>
  </si>
  <si>
    <t>No of cars on parking platforms</t>
  </si>
  <si>
    <t>2.6.2.2</t>
  </si>
  <si>
    <t>Liczba mp bez platform</t>
  </si>
  <si>
    <t>No of cars without platforms</t>
  </si>
  <si>
    <t>2.6.3</t>
  </si>
  <si>
    <t>Liczba samochodów na miejscach rodzinnych</t>
  </si>
  <si>
    <t>No of cars on dependent/family places</t>
  </si>
  <si>
    <t>2.6.4</t>
  </si>
  <si>
    <t xml:space="preserve">Liczba miejsc postojowych zależnych </t>
  </si>
  <si>
    <t>No of dependent pp</t>
  </si>
  <si>
    <t>2.8</t>
  </si>
  <si>
    <t>Liczba kondygnacji nadziemnych</t>
  </si>
  <si>
    <t>Overground floors</t>
  </si>
  <si>
    <t>2.9</t>
  </si>
  <si>
    <t>Liczba kondygnacji podziemnych</t>
  </si>
  <si>
    <t>Underground floors</t>
  </si>
  <si>
    <t>2.10</t>
  </si>
  <si>
    <t>Wysokość zabudowy</t>
  </si>
  <si>
    <t>Building Height</t>
  </si>
  <si>
    <t>MAKS. …</t>
  </si>
  <si>
    <t>2.11</t>
  </si>
  <si>
    <t>No of storage units</t>
  </si>
  <si>
    <t>2.11.1</t>
  </si>
  <si>
    <t>w garażu</t>
  </si>
  <si>
    <t>2.11.2</t>
  </si>
  <si>
    <t>w nadziemiu</t>
  </si>
  <si>
    <t>2.12</t>
  </si>
  <si>
    <t>Area of storage units</t>
  </si>
  <si>
    <t>2.12.1</t>
  </si>
  <si>
    <t>2.13</t>
  </si>
  <si>
    <t>Powierzchnia pomieszczeń wspólnych nadziemia (wózkownie, rowerownie, suszarnie, pomieszczenia ochrony, pomieszczenia administracji, śmietnik)</t>
  </si>
  <si>
    <t>2.14</t>
  </si>
  <si>
    <t>Powierzchnia, korytarzy, klatek schodowych (bez powierzchni biegów), przedsionków, holli wejściowych)</t>
  </si>
  <si>
    <t>3.</t>
  </si>
  <si>
    <t>Urban Coefficients</t>
  </si>
  <si>
    <t>3.1</t>
  </si>
  <si>
    <t>% Powierzchni biologicznie czynnej (Pbc/Pt)</t>
  </si>
  <si>
    <t>% of biologically active area (Pbc/Pt)</t>
  </si>
  <si>
    <t>MIN. ….</t>
  </si>
  <si>
    <t>3.2</t>
  </si>
  <si>
    <t>% powierzchni zabudowy) Pz/Pt</t>
  </si>
  <si>
    <t>Building foorprint % Pz/Pt</t>
  </si>
  <si>
    <t>MAKS. …..</t>
  </si>
  <si>
    <t>3.3</t>
  </si>
  <si>
    <t>Sprawność nadziemia (PUMiU/Pcnz)</t>
  </si>
  <si>
    <t>Overground efficiency (PUMiU/Pcnz)</t>
  </si>
  <si>
    <t>MIN. …..</t>
  </si>
  <si>
    <t>3.4</t>
  </si>
  <si>
    <t>Sprawność całkowita (PUMiU/PCNZ+PCP)</t>
  </si>
  <si>
    <t>Total building efficiency (PUMiU/PCNZ+PCP)</t>
  </si>
  <si>
    <t>3.5</t>
  </si>
  <si>
    <t>Sprawność całkowita garażu (Pcp/mp)</t>
  </si>
  <si>
    <t>Total Garage efficiency (Pcp/mp)</t>
  </si>
  <si>
    <t>3.6</t>
  </si>
  <si>
    <t>Sprawość hali garażowej (Puhg/lmp)</t>
  </si>
  <si>
    <t>Garage hall efficiency (Puhg/lmp)</t>
  </si>
  <si>
    <t>3.7</t>
  </si>
  <si>
    <t>Building Intensity (Pcn/Pt)</t>
  </si>
  <si>
    <t>3.8</t>
  </si>
  <si>
    <t>Plot Efficiency (PUMiU/Pt)</t>
  </si>
  <si>
    <t>4.</t>
  </si>
  <si>
    <t>Dane techniczne</t>
  </si>
  <si>
    <t>Technical data</t>
  </si>
  <si>
    <t>4.1</t>
  </si>
  <si>
    <t>Liczba klatek schodowych</t>
  </si>
  <si>
    <t>No of staircases</t>
  </si>
  <si>
    <t>4.2</t>
  </si>
  <si>
    <t>Liczba dźwigów windowych</t>
  </si>
  <si>
    <t>No of elevators</t>
  </si>
  <si>
    <t>4.3</t>
  </si>
  <si>
    <t>Powierzchnia elewacji</t>
  </si>
  <si>
    <t>Facade area</t>
  </si>
  <si>
    <t>bez odliczania otworów okiennych, drzwiowych i fasad aluminiowych, w tym powierzchnia attyki od zewnątrz. Nie wliczamy docieplenia płyt balkonowych, loggii i tarasów</t>
  </si>
  <si>
    <t>4.4</t>
  </si>
  <si>
    <t xml:space="preserve">Powierzchnia okien (bez witryn usług)) </t>
  </si>
  <si>
    <t>Area of windows (without retail)</t>
  </si>
  <si>
    <t>powierzchnia okien i drzwi balkonowych PCV - w świetle otworów</t>
  </si>
  <si>
    <t>4.5</t>
  </si>
  <si>
    <t>Powierzchnia witryn auminiowych w usługach</t>
  </si>
  <si>
    <t>Area of glazing in retail</t>
  </si>
  <si>
    <t>ślusarka części usługowej podawana w świetle otworów</t>
  </si>
  <si>
    <t>4.6</t>
  </si>
  <si>
    <t>Powierzchnia ślusarki aluminiowej i stalowej wejścia do budynku i pomieszczeń dostepnych z zewnątrz</t>
  </si>
  <si>
    <t>powierzchnia drzwi wejściowych ślusarki aluminiowej, staklowej oraz bram wjazdowych - w świetel otworów</t>
  </si>
  <si>
    <t>4.7</t>
  </si>
  <si>
    <t>Powierzchnia izolacji dachu</t>
  </si>
  <si>
    <t>powierzchnia dachu nad cześcią mieszkalna z powierzchnia attyki z jednej strony</t>
  </si>
  <si>
    <t>4.8</t>
  </si>
  <si>
    <t>Powierzchnia izolacji budynku od strony garażu</t>
  </si>
  <si>
    <t>powierzchnia docieplenie stropu nad garażem pod częścią mieszkalną</t>
  </si>
  <si>
    <t>4.9</t>
  </si>
  <si>
    <t>Obwód kondygnacji podziemnej</t>
  </si>
  <si>
    <t>Perimeter of wall in the basement</t>
  </si>
  <si>
    <t>4.10</t>
  </si>
  <si>
    <t>Obwód kondygnacji nadziemnej</t>
  </si>
  <si>
    <t>Perimetr of wall above the ground</t>
  </si>
  <si>
    <t>4.11</t>
  </si>
  <si>
    <t xml:space="preserve">Wysokość kondygancji w świetle </t>
  </si>
  <si>
    <t>Net Floor Height</t>
  </si>
  <si>
    <t>4.12</t>
  </si>
  <si>
    <t>Wysokość kondygnacji posadzka-posadzka</t>
  </si>
  <si>
    <t>Floor height from floor to floor</t>
  </si>
  <si>
    <t>5.</t>
  </si>
  <si>
    <t>Współczynniki techniczne</t>
  </si>
  <si>
    <t>Technical ratios</t>
  </si>
  <si>
    <t>5.1</t>
  </si>
  <si>
    <t>R1 (SHAB / SDP)</t>
  </si>
  <si>
    <t>PUM ISO / SDP)</t>
  </si>
  <si>
    <t>&gt;0,92</t>
  </si>
  <si>
    <t>suma (pum iso + pomieszczenia wspólne + pow. komunikacji bez pow. biegów schodowych)</t>
  </si>
  <si>
    <t>5.2</t>
  </si>
  <si>
    <t>R2 (SHAB / SHOT TOTAL)</t>
  </si>
  <si>
    <t>PUM ISO / PCN+PCP</t>
  </si>
  <si>
    <t>&gt;0,62</t>
  </si>
  <si>
    <t>PCN bez balkonów i loggii</t>
  </si>
  <si>
    <t>5.3</t>
  </si>
  <si>
    <t>R3 (Surface of isolation / SHAB)</t>
  </si>
  <si>
    <t>Pow.izolacji / PUM ISO</t>
  </si>
  <si>
    <t>&lt;1,2</t>
  </si>
  <si>
    <t>5.4</t>
  </si>
  <si>
    <t>R4 (Surface of Facade / SHAB)</t>
  </si>
  <si>
    <t>Pow.elewacji / PUM ISO</t>
  </si>
  <si>
    <t>&lt;0,8</t>
  </si>
  <si>
    <t>5.5</t>
  </si>
  <si>
    <t>R5 (SHAB / SHOT GO)</t>
  </si>
  <si>
    <t>PCN / PUM ISO</t>
  </si>
  <si>
    <t>&gt;0,74</t>
  </si>
  <si>
    <t>5.6</t>
  </si>
  <si>
    <t>R6 (shot parking /no parking places)</t>
  </si>
  <si>
    <t>PCP / liczbę miejsc w garażu</t>
  </si>
  <si>
    <t>&lt;28</t>
  </si>
  <si>
    <t>powierzchnia całkowita garazu pomniejszona o powierzchnie boksów i komórek w garażach</t>
  </si>
  <si>
    <t>5.7</t>
  </si>
  <si>
    <t>R7 (SHAB / No apart.)</t>
  </si>
  <si>
    <t>PUM ISO / liczbę mieszkań</t>
  </si>
  <si>
    <t>&gt;60</t>
  </si>
  <si>
    <t>5.8</t>
  </si>
  <si>
    <t>R8 (SHAB / no of staircases)</t>
  </si>
  <si>
    <t>PUM ISO / liczbę klatek</t>
  </si>
  <si>
    <t>&gt;1600</t>
  </si>
  <si>
    <t>5.9</t>
  </si>
  <si>
    <t>R9 (SHOT glazed / SHAB (apart.))</t>
  </si>
  <si>
    <t>Pow. Okien / PUM ISO</t>
  </si>
  <si>
    <t>&lt;18%</t>
  </si>
  <si>
    <t>5.10</t>
  </si>
  <si>
    <t>R10</t>
  </si>
  <si>
    <t>Ilośc mieszkań / windę</t>
  </si>
  <si>
    <t>&gt;33 do 6 ciu kond.
&gt;38 pow. 6 ciu kond.</t>
  </si>
  <si>
    <t>5.11</t>
  </si>
  <si>
    <t>R11</t>
  </si>
  <si>
    <t>Ilośc mieszkań / windę / kond.nadziemną</t>
  </si>
  <si>
    <t>&gt; 6</t>
  </si>
  <si>
    <t>ilośc mieszkań / windę / kond.nadziemną</t>
  </si>
  <si>
    <t>5.12</t>
  </si>
  <si>
    <t xml:space="preserve">R12 </t>
  </si>
  <si>
    <t>pow.balkonów / loggii / tarasów nadziemnych do PUM ISO</t>
  </si>
  <si>
    <t>&lt;8%</t>
  </si>
  <si>
    <t>6.</t>
  </si>
  <si>
    <t>Konstrukcja żelbetowa</t>
  </si>
  <si>
    <t>element konstrukcji - zbrojenie</t>
  </si>
  <si>
    <t xml:space="preserve">maksymalne współczynniki </t>
  </si>
  <si>
    <t>6.1</t>
  </si>
  <si>
    <t>Płyta fundamentowa</t>
  </si>
  <si>
    <t>6.2</t>
  </si>
  <si>
    <t>bez wykotwień</t>
  </si>
  <si>
    <t>kg / m3</t>
  </si>
  <si>
    <t>6.3</t>
  </si>
  <si>
    <t>z wykotwieniami</t>
  </si>
  <si>
    <t>6.4</t>
  </si>
  <si>
    <t>Stropy</t>
  </si>
  <si>
    <t>6.5</t>
  </si>
  <si>
    <t>nad garażem pod budynkiem</t>
  </si>
  <si>
    <t>6.6</t>
  </si>
  <si>
    <t>nad garażem pod dziedzińcem</t>
  </si>
  <si>
    <t>6.7</t>
  </si>
  <si>
    <t>nadziemie</t>
  </si>
  <si>
    <t>6.8</t>
  </si>
  <si>
    <t>Słupy</t>
  </si>
  <si>
    <t>6.9</t>
  </si>
  <si>
    <t>garażu</t>
  </si>
  <si>
    <t>6.10</t>
  </si>
  <si>
    <t>nadziemia</t>
  </si>
  <si>
    <t>6.11</t>
  </si>
  <si>
    <t>Ściany</t>
  </si>
  <si>
    <t>6.12</t>
  </si>
  <si>
    <t>6.13</t>
  </si>
  <si>
    <t>6.14</t>
  </si>
  <si>
    <t>Beki</t>
  </si>
  <si>
    <t>6.15</t>
  </si>
  <si>
    <t>Całość konstrukcji</t>
  </si>
  <si>
    <t>103-105</t>
  </si>
  <si>
    <t>6.16</t>
  </si>
  <si>
    <t>Ilość konstrukcji żelbetowej</t>
  </si>
  <si>
    <t>6.17</t>
  </si>
  <si>
    <t>w odniesieniu do pum</t>
  </si>
  <si>
    <t>m3 / m2 pum</t>
  </si>
  <si>
    <t>6.18</t>
  </si>
  <si>
    <t>w odniesieniu do PC</t>
  </si>
  <si>
    <t>m3 / m2 pc</t>
  </si>
  <si>
    <t>Sumaryczna pow. działek 6/9, 7/6, 7/15, 8/2, 9/2</t>
  </si>
  <si>
    <t>z uwzględnioną pow. balkonów i tarasów</t>
  </si>
  <si>
    <t>bez boksów rowerowych, razem z powierzchnią rampy wjazdowej</t>
  </si>
  <si>
    <t>Zieleń nad garażem + 25% geokrata na garażu + 25% mata przerostowa na garażu</t>
  </si>
  <si>
    <t>Liczba komórek lokatorskich</t>
  </si>
  <si>
    <t>Powierzchnia komórek lokatorskich w tym: (2.12.1+2.12.2)</t>
  </si>
  <si>
    <t>komórki lokatorskie w garażu</t>
  </si>
  <si>
    <t>komórki lokatorskie w nadziemiu</t>
  </si>
  <si>
    <t xml:space="preserve">Liczba boksów rowerowych </t>
  </si>
  <si>
    <t>plus 5 mp z warunku 1mp/60m2 pum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</si>
</sst>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5" x14ac:knownFonts="1">
    <font>
      <sz val="11"/>
      <color theme="1"/>
      <name val="Calibri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8" fillId="0" borderId="0"/>
    <xf numFmtId="43" fontId="14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3" fontId="12" fillId="2" borderId="1" xfId="2" applyNumberFormat="1" applyFill="1" applyBorder="1" applyAlignment="1">
      <alignment vertical="center"/>
    </xf>
    <xf numFmtId="0" fontId="8" fillId="0" borderId="0" xfId="3" applyAlignment="1">
      <alignment vertical="center"/>
    </xf>
    <xf numFmtId="3" fontId="12" fillId="3" borderId="1" xfId="1" applyNumberFormat="1" applyFill="1" applyBorder="1" applyAlignment="1">
      <alignment vertical="center"/>
    </xf>
    <xf numFmtId="0" fontId="8" fillId="0" borderId="2" xfId="3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center" vertical="center" wrapText="1"/>
    </xf>
    <xf numFmtId="0" fontId="10" fillId="4" borderId="6" xfId="3" applyFont="1" applyFill="1" applyBorder="1" applyAlignment="1">
      <alignment horizontal="center" vertical="center" wrapText="1"/>
    </xf>
    <xf numFmtId="49" fontId="8" fillId="5" borderId="1" xfId="3" applyNumberFormat="1" applyFill="1" applyBorder="1" applyAlignment="1">
      <alignment vertical="center"/>
    </xf>
    <xf numFmtId="0" fontId="8" fillId="5" borderId="1" xfId="3" applyFill="1" applyBorder="1" applyAlignment="1">
      <alignment vertical="center" wrapText="1"/>
    </xf>
    <xf numFmtId="0" fontId="8" fillId="5" borderId="1" xfId="3" applyFill="1" applyBorder="1" applyAlignment="1">
      <alignment vertical="center"/>
    </xf>
    <xf numFmtId="49" fontId="8" fillId="0" borderId="1" xfId="3" applyNumberFormat="1" applyBorder="1" applyAlignment="1">
      <alignment vertical="center"/>
    </xf>
    <xf numFmtId="0" fontId="8" fillId="0" borderId="1" xfId="3" applyBorder="1" applyAlignment="1">
      <alignment vertical="center" wrapText="1"/>
    </xf>
    <xf numFmtId="3" fontId="12" fillId="6" borderId="1" xfId="2" applyNumberFormat="1" applyFill="1" applyBorder="1" applyAlignment="1">
      <alignment vertical="center"/>
    </xf>
    <xf numFmtId="3" fontId="12" fillId="6" borderId="1" xfId="1" applyNumberFormat="1" applyFill="1" applyBorder="1" applyAlignment="1">
      <alignment vertical="center"/>
    </xf>
    <xf numFmtId="3" fontId="12" fillId="3" borderId="1" xfId="1" applyNumberFormat="1" applyFill="1" applyBorder="1" applyAlignment="1" applyProtection="1">
      <alignment vertical="center"/>
    </xf>
    <xf numFmtId="3" fontId="12" fillId="0" borderId="1" xfId="2" applyNumberFormat="1" applyFill="1" applyBorder="1" applyAlignment="1">
      <alignment vertical="center"/>
    </xf>
    <xf numFmtId="3" fontId="8" fillId="0" borderId="1" xfId="3" applyNumberFormat="1" applyBorder="1" applyAlignment="1">
      <alignment vertical="center"/>
    </xf>
    <xf numFmtId="3" fontId="8" fillId="5" borderId="1" xfId="3" applyNumberFormat="1" applyFill="1" applyBorder="1" applyAlignment="1">
      <alignment vertical="center"/>
    </xf>
    <xf numFmtId="3" fontId="8" fillId="6" borderId="1" xfId="3" applyNumberFormat="1" applyFill="1" applyBorder="1" applyAlignment="1">
      <alignment vertical="center"/>
    </xf>
    <xf numFmtId="3" fontId="8" fillId="2" borderId="1" xfId="3" applyNumberFormat="1" applyFill="1" applyBorder="1" applyAlignment="1">
      <alignment vertical="center"/>
    </xf>
    <xf numFmtId="3" fontId="12" fillId="0" borderId="1" xfId="1" applyNumberFormat="1" applyFill="1" applyBorder="1" applyAlignment="1">
      <alignment vertical="center"/>
    </xf>
    <xf numFmtId="0" fontId="8" fillId="0" borderId="1" xfId="3" applyBorder="1" applyAlignment="1">
      <alignment horizontal="right" vertical="center"/>
    </xf>
    <xf numFmtId="4" fontId="12" fillId="3" borderId="1" xfId="1" applyNumberFormat="1" applyFill="1" applyBorder="1" applyAlignment="1" applyProtection="1">
      <alignment vertical="center"/>
    </xf>
    <xf numFmtId="3" fontId="8" fillId="6" borderId="1" xfId="1" applyNumberFormat="1" applyFont="1" applyFill="1" applyBorder="1" applyAlignment="1">
      <alignment vertical="center"/>
    </xf>
    <xf numFmtId="0" fontId="8" fillId="0" borderId="1" xfId="3" applyBorder="1" applyAlignment="1">
      <alignment horizontal="left" vertical="center" wrapText="1" indent="1"/>
    </xf>
    <xf numFmtId="4" fontId="7" fillId="3" borderId="1" xfId="1" applyNumberFormat="1" applyFont="1" applyFill="1" applyBorder="1" applyAlignment="1" applyProtection="1">
      <alignment vertical="center"/>
    </xf>
    <xf numFmtId="0" fontId="7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8" fillId="0" borderId="1" xfId="3" applyNumberFormat="1" applyBorder="1" applyAlignment="1">
      <alignment vertical="center"/>
    </xf>
    <xf numFmtId="0" fontId="8" fillId="0" borderId="1" xfId="3" applyBorder="1" applyAlignment="1">
      <alignment horizontal="center" vertical="center"/>
    </xf>
    <xf numFmtId="0" fontId="8" fillId="0" borderId="1" xfId="3" applyBorder="1" applyAlignment="1">
      <alignment horizontal="center" vertical="center" wrapText="1"/>
    </xf>
    <xf numFmtId="49" fontId="11" fillId="5" borderId="1" xfId="3" applyNumberFormat="1" applyFont="1" applyFill="1" applyBorder="1" applyAlignment="1">
      <alignment vertical="center"/>
    </xf>
    <xf numFmtId="0" fontId="11" fillId="5" borderId="1" xfId="3" applyFont="1" applyFill="1" applyBorder="1" applyAlignment="1">
      <alignment vertical="center" wrapText="1"/>
    </xf>
    <xf numFmtId="0" fontId="11" fillId="5" borderId="1" xfId="3" applyFont="1" applyFill="1" applyBorder="1" applyAlignment="1">
      <alignment horizontal="center" vertical="center" wrapText="1"/>
    </xf>
    <xf numFmtId="4" fontId="8" fillId="2" borderId="1" xfId="3" applyNumberFormat="1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3" fontId="6" fillId="2" borderId="1" xfId="2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4" fontId="8" fillId="3" borderId="1" xfId="3" applyNumberFormat="1" applyFill="1" applyBorder="1" applyAlignment="1">
      <alignment vertical="center"/>
    </xf>
    <xf numFmtId="2" fontId="8" fillId="2" borderId="1" xfId="4" applyNumberFormat="1" applyFont="1" applyFill="1" applyBorder="1" applyAlignment="1">
      <alignment vertical="center"/>
    </xf>
    <xf numFmtId="164" fontId="8" fillId="2" borderId="1" xfId="3" applyNumberFormat="1" applyFill="1" applyBorder="1" applyAlignment="1">
      <alignment vertical="center"/>
    </xf>
    <xf numFmtId="43" fontId="8" fillId="2" borderId="1" xfId="4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2" fillId="3" borderId="1" xfId="1" applyNumberFormat="1" applyFill="1" applyBorder="1" applyAlignment="1" applyProtection="1">
      <alignment vertical="center"/>
    </xf>
  </cellXfs>
  <cellStyles count="5">
    <cellStyle name="20% — akcent 5" xfId="1" builtinId="46"/>
    <cellStyle name="20% — akcent 6" xfId="2" builtinId="50"/>
    <cellStyle name="Dziesiętny" xfId="4" builtinId="3"/>
    <cellStyle name="Normalny" xfId="0" builtinId="0"/>
    <cellStyle name="Normalny 10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141"/>
  <sheetViews>
    <sheetView tabSelected="1" topLeftCell="A32" workbookViewId="0">
      <selection activeCell="O60" sqref="O60"/>
    </sheetView>
  </sheetViews>
  <sheetFormatPr defaultRowHeight="15" x14ac:dyDescent="0.25"/>
  <cols>
    <col min="2" max="3" width="30.7109375" customWidth="1"/>
    <col min="4" max="4" width="13.42578125" customWidth="1"/>
    <col min="7" max="7" width="9.140625" customWidth="1"/>
    <col min="10" max="10" width="45.7109375" customWidth="1"/>
  </cols>
  <sheetData>
    <row r="2" spans="1:13" x14ac:dyDescent="0.25">
      <c r="B2" s="2"/>
      <c r="C2" s="3" t="s">
        <v>0</v>
      </c>
    </row>
    <row r="3" spans="1:13" x14ac:dyDescent="0.25">
      <c r="B3" s="3"/>
      <c r="C3" s="3"/>
    </row>
    <row r="4" spans="1:13" x14ac:dyDescent="0.25">
      <c r="B4" s="4"/>
      <c r="C4" s="5" t="s">
        <v>1</v>
      </c>
      <c r="D4" s="6" t="s">
        <v>2</v>
      </c>
    </row>
    <row r="5" spans="1:13" x14ac:dyDescent="0.25">
      <c r="E5" s="48" t="s">
        <v>3</v>
      </c>
      <c r="F5" s="7"/>
      <c r="G5" s="7"/>
      <c r="H5" s="7"/>
      <c r="I5" s="31"/>
    </row>
    <row r="6" spans="1:13" ht="25.5" x14ac:dyDescent="0.25">
      <c r="A6" s="8" t="s">
        <v>4</v>
      </c>
      <c r="B6" s="9" t="s">
        <v>5</v>
      </c>
      <c r="C6" s="9" t="s">
        <v>6</v>
      </c>
      <c r="D6" s="10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1" t="s">
        <v>12</v>
      </c>
      <c r="J6" s="10" t="s">
        <v>13</v>
      </c>
    </row>
    <row r="7" spans="1:13" x14ac:dyDescent="0.25">
      <c r="A7" s="12" t="s">
        <v>14</v>
      </c>
      <c r="B7" s="13" t="s">
        <v>15</v>
      </c>
      <c r="C7" s="13" t="s">
        <v>16</v>
      </c>
      <c r="D7" s="14"/>
      <c r="E7" s="14"/>
      <c r="F7" s="14"/>
      <c r="G7" s="14"/>
      <c r="H7" s="14"/>
      <c r="I7" s="14"/>
      <c r="J7" s="14"/>
    </row>
    <row r="8" spans="1:13" x14ac:dyDescent="0.25">
      <c r="A8" s="15" t="s">
        <v>17</v>
      </c>
      <c r="B8" s="16" t="s">
        <v>18</v>
      </c>
      <c r="C8" s="16" t="s">
        <v>19</v>
      </c>
      <c r="D8" s="17"/>
      <c r="E8" s="2"/>
      <c r="F8" s="2">
        <v>38136</v>
      </c>
      <c r="G8" s="2">
        <v>38136</v>
      </c>
      <c r="H8" s="2">
        <v>38136</v>
      </c>
      <c r="I8" s="2">
        <f>H8</f>
        <v>38136</v>
      </c>
      <c r="J8" s="47" t="s">
        <v>326</v>
      </c>
    </row>
    <row r="9" spans="1:13" ht="25.5" x14ac:dyDescent="0.25">
      <c r="A9" s="15" t="s">
        <v>20</v>
      </c>
      <c r="B9" s="16" t="s">
        <v>21</v>
      </c>
      <c r="C9" s="16" t="s">
        <v>22</v>
      </c>
      <c r="D9" s="17"/>
      <c r="E9" s="2"/>
      <c r="F9" s="2">
        <v>4073.29</v>
      </c>
      <c r="G9" s="2">
        <v>4074.32</v>
      </c>
      <c r="H9" s="2">
        <v>4088.93</v>
      </c>
      <c r="I9" s="2">
        <v>3692.5</v>
      </c>
      <c r="J9" s="46"/>
    </row>
    <row r="10" spans="1:13" x14ac:dyDescent="0.25">
      <c r="A10" s="15" t="s">
        <v>23</v>
      </c>
      <c r="B10" s="16" t="s">
        <v>24</v>
      </c>
      <c r="C10" s="16" t="s">
        <v>25</v>
      </c>
      <c r="D10" s="17"/>
      <c r="E10" s="2"/>
      <c r="F10" s="2">
        <v>1190</v>
      </c>
      <c r="G10" s="2">
        <v>1210.5899999999999</v>
      </c>
      <c r="H10" s="2">
        <v>1204.68</v>
      </c>
      <c r="I10" s="2">
        <v>1205.3</v>
      </c>
      <c r="J10" s="32"/>
    </row>
    <row r="11" spans="1:13" ht="25.5" x14ac:dyDescent="0.25">
      <c r="A11" s="15" t="s">
        <v>26</v>
      </c>
      <c r="B11" s="16" t="s">
        <v>27</v>
      </c>
      <c r="C11" s="16" t="s">
        <v>28</v>
      </c>
      <c r="D11" s="18"/>
      <c r="E11" s="19">
        <f>E12+(E13+E14)/2</f>
        <v>0</v>
      </c>
      <c r="F11" s="19">
        <f t="shared" ref="F11:I11" si="0">F12+(F13+F14)/2</f>
        <v>1230.5</v>
      </c>
      <c r="G11" s="19">
        <f>G12+(G13+G14)/2</f>
        <v>1229.4575</v>
      </c>
      <c r="H11" s="19">
        <f t="shared" si="0"/>
        <v>1228.97</v>
      </c>
      <c r="I11" s="58">
        <f t="shared" si="0"/>
        <v>1242.4249999999997</v>
      </c>
      <c r="J11" s="32"/>
    </row>
    <row r="12" spans="1:13" ht="25.5" x14ac:dyDescent="0.25">
      <c r="A12" s="15" t="s">
        <v>29</v>
      </c>
      <c r="B12" s="16" t="s">
        <v>30</v>
      </c>
      <c r="C12" s="16" t="s">
        <v>31</v>
      </c>
      <c r="D12" s="20"/>
      <c r="E12" s="2"/>
      <c r="F12" s="2">
        <v>637</v>
      </c>
      <c r="G12" s="2">
        <v>631.91999999999996</v>
      </c>
      <c r="H12" s="2">
        <v>555.1</v>
      </c>
      <c r="I12" s="2">
        <v>543.30999999999995</v>
      </c>
      <c r="J12" s="32"/>
    </row>
    <row r="13" spans="1:13" ht="30" x14ac:dyDescent="0.25">
      <c r="A13" s="15" t="s">
        <v>32</v>
      </c>
      <c r="B13" s="16" t="s">
        <v>33</v>
      </c>
      <c r="C13" s="16" t="s">
        <v>34</v>
      </c>
      <c r="D13" s="20"/>
      <c r="E13" s="2"/>
      <c r="F13" s="2">
        <v>1187</v>
      </c>
      <c r="G13" s="2">
        <f>1183.47+0.5*(18.18+5.03)</f>
        <v>1195.075</v>
      </c>
      <c r="H13" s="2">
        <f>1340.39+14.7*0.5</f>
        <v>1347.74</v>
      </c>
      <c r="I13" s="2">
        <f>1381.84+2.8+27.18*0.5</f>
        <v>1398.2299999999998</v>
      </c>
      <c r="J13" s="33" t="s">
        <v>329</v>
      </c>
      <c r="M13" s="55"/>
    </row>
    <row r="14" spans="1:13" ht="25.5" x14ac:dyDescent="0.25">
      <c r="A14" s="15" t="s">
        <v>35</v>
      </c>
      <c r="B14" s="16" t="s">
        <v>36</v>
      </c>
      <c r="C14" s="16" t="s">
        <v>37</v>
      </c>
      <c r="D14" s="20"/>
      <c r="E14" s="2"/>
      <c r="F14" s="2">
        <v>0</v>
      </c>
      <c r="G14" s="2">
        <v>0</v>
      </c>
      <c r="H14" s="2">
        <v>0</v>
      </c>
      <c r="I14" s="2">
        <v>0</v>
      </c>
      <c r="J14" s="32"/>
    </row>
    <row r="15" spans="1:13" x14ac:dyDescent="0.25">
      <c r="A15" s="15" t="s">
        <v>38</v>
      </c>
      <c r="B15" s="16" t="s">
        <v>39</v>
      </c>
      <c r="C15" s="16" t="s">
        <v>40</v>
      </c>
      <c r="D15" s="21"/>
      <c r="E15" s="2"/>
      <c r="F15" s="2">
        <v>529</v>
      </c>
      <c r="G15" s="2">
        <v>599.35</v>
      </c>
      <c r="H15" s="2">
        <v>528.32000000000005</v>
      </c>
      <c r="I15" s="2">
        <v>458.13</v>
      </c>
      <c r="J15" s="32"/>
    </row>
    <row r="16" spans="1:13" x14ac:dyDescent="0.25">
      <c r="A16" s="15" t="s">
        <v>41</v>
      </c>
      <c r="B16" s="16" t="s">
        <v>42</v>
      </c>
      <c r="C16" s="16" t="s">
        <v>43</v>
      </c>
      <c r="D16" s="21"/>
      <c r="E16" s="2"/>
      <c r="F16" s="2">
        <v>467</v>
      </c>
      <c r="G16" s="2">
        <v>445.39</v>
      </c>
      <c r="H16" s="2">
        <v>446.01</v>
      </c>
      <c r="I16" s="2">
        <v>78.86</v>
      </c>
      <c r="J16" s="32"/>
    </row>
    <row r="17" spans="1:17" x14ac:dyDescent="0.25">
      <c r="A17" s="15" t="s">
        <v>44</v>
      </c>
      <c r="B17" s="16" t="s">
        <v>45</v>
      </c>
      <c r="C17" s="16" t="s">
        <v>46</v>
      </c>
      <c r="D17" s="21"/>
      <c r="E17" s="2"/>
      <c r="F17" s="2">
        <v>25884.74</v>
      </c>
      <c r="G17" s="45">
        <v>25888</v>
      </c>
      <c r="H17" s="2">
        <v>25928</v>
      </c>
      <c r="I17" s="2">
        <v>24589</v>
      </c>
      <c r="J17" s="32" t="s">
        <v>47</v>
      </c>
    </row>
    <row r="18" spans="1:17" x14ac:dyDescent="0.25">
      <c r="A18" s="12" t="s">
        <v>48</v>
      </c>
      <c r="B18" s="13" t="s">
        <v>49</v>
      </c>
      <c r="C18" s="13" t="s">
        <v>50</v>
      </c>
      <c r="D18" s="22"/>
      <c r="E18" s="22"/>
      <c r="F18" s="22"/>
      <c r="G18" s="22"/>
      <c r="H18" s="22"/>
      <c r="I18" s="22"/>
      <c r="J18" s="22"/>
    </row>
    <row r="19" spans="1:17" ht="25.5" x14ac:dyDescent="0.25">
      <c r="A19" s="15" t="s">
        <v>51</v>
      </c>
      <c r="B19" s="16" t="s">
        <v>52</v>
      </c>
      <c r="C19" s="16" t="s">
        <v>53</v>
      </c>
      <c r="D19" s="18"/>
      <c r="E19" s="19">
        <f>E20+E24</f>
        <v>0</v>
      </c>
      <c r="F19" s="19">
        <f t="shared" ref="F19:I19" si="1">F20+F24</f>
        <v>9057.5400000000009</v>
      </c>
      <c r="G19" s="19">
        <f t="shared" si="1"/>
        <v>9174.0600000000013</v>
      </c>
      <c r="H19" s="19">
        <f t="shared" si="1"/>
        <v>9396.42</v>
      </c>
      <c r="I19" s="19">
        <f t="shared" si="1"/>
        <v>9392.880000000001</v>
      </c>
      <c r="J19" s="32"/>
    </row>
    <row r="20" spans="1:17" ht="25.5" x14ac:dyDescent="0.25">
      <c r="A20" s="15" t="s">
        <v>54</v>
      </c>
      <c r="B20" s="16" t="s">
        <v>55</v>
      </c>
      <c r="C20" s="16" t="s">
        <v>56</v>
      </c>
      <c r="D20" s="18"/>
      <c r="E20" s="19">
        <f>E21+E22+E23</f>
        <v>0</v>
      </c>
      <c r="F20" s="19">
        <f t="shared" ref="F20:I20" si="2">F21+F22+F23</f>
        <v>6334.54</v>
      </c>
      <c r="G20" s="19">
        <f t="shared" si="2"/>
        <v>6468.9000000000005</v>
      </c>
      <c r="H20" s="19">
        <f>H21+H22+H23</f>
        <v>6464.51</v>
      </c>
      <c r="I20" s="19">
        <f t="shared" si="2"/>
        <v>6455.68</v>
      </c>
      <c r="J20" s="32"/>
    </row>
    <row r="21" spans="1:17" ht="25.5" x14ac:dyDescent="0.25">
      <c r="A21" s="15" t="s">
        <v>57</v>
      </c>
      <c r="B21" s="16" t="s">
        <v>58</v>
      </c>
      <c r="C21" s="16" t="s">
        <v>59</v>
      </c>
      <c r="D21" s="23"/>
      <c r="E21" s="24"/>
      <c r="F21" s="24">
        <v>5887</v>
      </c>
      <c r="G21" s="24">
        <v>6017.64</v>
      </c>
      <c r="H21" s="24">
        <v>5994.21</v>
      </c>
      <c r="I21" s="24">
        <v>5994.5</v>
      </c>
      <c r="J21" s="32" t="s">
        <v>60</v>
      </c>
      <c r="N21" s="55"/>
    </row>
    <row r="22" spans="1:17" ht="25.5" x14ac:dyDescent="0.25">
      <c r="A22" s="15" t="s">
        <v>61</v>
      </c>
      <c r="B22" s="16" t="s">
        <v>62</v>
      </c>
      <c r="C22" s="16" t="s">
        <v>63</v>
      </c>
      <c r="D22" s="25"/>
      <c r="E22" s="24"/>
      <c r="F22" s="24">
        <v>417</v>
      </c>
      <c r="G22" s="24">
        <v>425.38</v>
      </c>
      <c r="H22" s="24">
        <v>451.68</v>
      </c>
      <c r="I22" s="24">
        <v>442.38</v>
      </c>
      <c r="J22" s="32"/>
      <c r="N22" s="55"/>
    </row>
    <row r="23" spans="1:17" x14ac:dyDescent="0.25">
      <c r="A23" s="15" t="s">
        <v>64</v>
      </c>
      <c r="B23" s="16" t="s">
        <v>65</v>
      </c>
      <c r="C23" s="16" t="s">
        <v>66</v>
      </c>
      <c r="D23" s="21"/>
      <c r="E23" s="24"/>
      <c r="F23" s="24">
        <v>30.54</v>
      </c>
      <c r="G23" s="24">
        <v>25.88</v>
      </c>
      <c r="H23" s="24">
        <v>18.62</v>
      </c>
      <c r="I23" s="24">
        <v>18.8</v>
      </c>
      <c r="J23" s="32"/>
      <c r="N23" s="55"/>
    </row>
    <row r="24" spans="1:17" ht="25.5" x14ac:dyDescent="0.25">
      <c r="A24" s="15" t="s">
        <v>67</v>
      </c>
      <c r="B24" s="16" t="s">
        <v>68</v>
      </c>
      <c r="C24" s="16" t="s">
        <v>69</v>
      </c>
      <c r="D24" s="21"/>
      <c r="E24" s="24"/>
      <c r="F24" s="24">
        <v>2723</v>
      </c>
      <c r="G24" s="24">
        <v>2705.16</v>
      </c>
      <c r="H24" s="24">
        <v>2931.91</v>
      </c>
      <c r="I24" s="24">
        <v>2937.2</v>
      </c>
      <c r="J24" s="32"/>
      <c r="N24" s="55"/>
    </row>
    <row r="25" spans="1:17" ht="30" x14ac:dyDescent="0.25">
      <c r="A25" s="15" t="s">
        <v>70</v>
      </c>
      <c r="B25" s="16" t="s">
        <v>71</v>
      </c>
      <c r="C25" s="16" t="s">
        <v>72</v>
      </c>
      <c r="D25" s="21"/>
      <c r="E25" s="24"/>
      <c r="F25" s="24">
        <v>2287</v>
      </c>
      <c r="G25" s="24">
        <v>2267.42</v>
      </c>
      <c r="H25" s="24">
        <v>2491.17</v>
      </c>
      <c r="I25" s="24">
        <v>2458</v>
      </c>
      <c r="J25" s="33" t="s">
        <v>328</v>
      </c>
      <c r="N25" s="55"/>
    </row>
    <row r="26" spans="1:17" ht="25.5" x14ac:dyDescent="0.25">
      <c r="A26" s="15" t="s">
        <v>73</v>
      </c>
      <c r="B26" s="16" t="s">
        <v>74</v>
      </c>
      <c r="C26" s="16" t="s">
        <v>75</v>
      </c>
      <c r="D26" s="21"/>
      <c r="E26" s="24"/>
      <c r="F26" s="24">
        <v>144.16</v>
      </c>
      <c r="G26" s="24">
        <v>151.28</v>
      </c>
      <c r="H26" s="24">
        <v>146.97</v>
      </c>
      <c r="I26" s="24">
        <v>142.80000000000001</v>
      </c>
      <c r="J26" s="32"/>
      <c r="N26" s="55"/>
    </row>
    <row r="27" spans="1:17" ht="25.5" x14ac:dyDescent="0.25">
      <c r="A27" s="15" t="s">
        <v>76</v>
      </c>
      <c r="B27" s="16" t="s">
        <v>77</v>
      </c>
      <c r="C27" s="16" t="s">
        <v>78</v>
      </c>
      <c r="D27" s="21"/>
      <c r="E27" s="24"/>
      <c r="F27" s="24">
        <v>0</v>
      </c>
      <c r="G27" s="24">
        <v>48.5</v>
      </c>
      <c r="H27" s="24">
        <v>0</v>
      </c>
      <c r="I27" s="24">
        <v>0</v>
      </c>
      <c r="J27" s="32"/>
    </row>
    <row r="28" spans="1:17" ht="25.5" x14ac:dyDescent="0.25">
      <c r="A28" s="15" t="s">
        <v>79</v>
      </c>
      <c r="B28" s="16" t="s">
        <v>80</v>
      </c>
      <c r="C28" s="16"/>
      <c r="D28" s="26"/>
      <c r="E28" s="24"/>
      <c r="F28" s="24">
        <v>0</v>
      </c>
      <c r="G28" s="24">
        <v>33.72</v>
      </c>
      <c r="H28" s="24">
        <v>72.760000000000005</v>
      </c>
      <c r="I28" s="24">
        <f>I59</f>
        <v>72.75</v>
      </c>
      <c r="J28" s="32"/>
      <c r="N28" s="55"/>
    </row>
    <row r="29" spans="1:17" x14ac:dyDescent="0.25">
      <c r="A29" s="15" t="s">
        <v>81</v>
      </c>
      <c r="B29" s="16" t="s">
        <v>82</v>
      </c>
      <c r="C29" s="16" t="s">
        <v>83</v>
      </c>
      <c r="D29" s="18"/>
      <c r="E29" s="19">
        <f>E30+E31</f>
        <v>0</v>
      </c>
      <c r="F29" s="19">
        <f>F30+F32</f>
        <v>4099.1000000000004</v>
      </c>
      <c r="G29" s="19">
        <f>G30+G32</f>
        <v>4188.8</v>
      </c>
      <c r="H29" s="19">
        <f>H30+H32</f>
        <v>4154.9399999999996</v>
      </c>
      <c r="I29" s="19">
        <f>I30+I32</f>
        <v>4153.9799999999996</v>
      </c>
      <c r="J29" s="32"/>
    </row>
    <row r="30" spans="1:17" ht="25.5" x14ac:dyDescent="0.25">
      <c r="A30" s="15" t="s">
        <v>84</v>
      </c>
      <c r="B30" s="16" t="s">
        <v>85</v>
      </c>
      <c r="C30" s="16" t="s">
        <v>86</v>
      </c>
      <c r="D30" s="23"/>
      <c r="E30" s="24"/>
      <c r="F30" s="24">
        <v>0</v>
      </c>
      <c r="G30" s="24">
        <v>0</v>
      </c>
      <c r="H30" s="24">
        <v>0</v>
      </c>
      <c r="I30" s="24">
        <v>0</v>
      </c>
      <c r="J30" s="32"/>
    </row>
    <row r="31" spans="1:17" ht="25.5" x14ac:dyDescent="0.25">
      <c r="A31" s="15" t="s">
        <v>87</v>
      </c>
      <c r="B31" s="16" t="s">
        <v>88</v>
      </c>
      <c r="C31" s="16" t="s">
        <v>89</v>
      </c>
      <c r="D31" s="23"/>
      <c r="E31" s="24"/>
      <c r="F31" s="24">
        <v>4216.5</v>
      </c>
      <c r="G31" s="24">
        <v>4307.92</v>
      </c>
      <c r="H31" s="24">
        <v>4261</v>
      </c>
      <c r="I31" s="24">
        <v>0</v>
      </c>
      <c r="J31" s="33" t="s">
        <v>90</v>
      </c>
      <c r="N31" s="55"/>
      <c r="Q31" s="54"/>
    </row>
    <row r="32" spans="1:17" ht="25.5" x14ac:dyDescent="0.25">
      <c r="A32" s="15" t="s">
        <v>91</v>
      </c>
      <c r="B32" s="16" t="s">
        <v>92</v>
      </c>
      <c r="C32" s="16" t="s">
        <v>93</v>
      </c>
      <c r="D32" s="23"/>
      <c r="E32" s="24"/>
      <c r="F32" s="24">
        <v>4099.1000000000004</v>
      </c>
      <c r="G32" s="24">
        <v>4188.8</v>
      </c>
      <c r="H32" s="24">
        <v>4154.9399999999996</v>
      </c>
      <c r="I32" s="24">
        <v>4153.9799999999996</v>
      </c>
      <c r="J32" s="33" t="s">
        <v>94</v>
      </c>
      <c r="N32" s="55"/>
    </row>
    <row r="33" spans="1:10" x14ac:dyDescent="0.25">
      <c r="A33" s="15" t="s">
        <v>95</v>
      </c>
      <c r="B33" s="16" t="s">
        <v>96</v>
      </c>
      <c r="C33" s="16" t="s">
        <v>97</v>
      </c>
      <c r="D33" s="23"/>
      <c r="E33" s="24"/>
      <c r="F33" s="24">
        <v>84</v>
      </c>
      <c r="G33" s="24">
        <v>80</v>
      </c>
      <c r="H33" s="24">
        <v>89</v>
      </c>
      <c r="I33" s="24">
        <v>89</v>
      </c>
      <c r="J33" s="32"/>
    </row>
    <row r="34" spans="1:10" x14ac:dyDescent="0.25">
      <c r="A34" s="15" t="s">
        <v>98</v>
      </c>
      <c r="B34" s="16" t="s">
        <v>99</v>
      </c>
      <c r="C34" s="16" t="s">
        <v>100</v>
      </c>
      <c r="D34" s="23"/>
      <c r="E34" s="24"/>
      <c r="F34" s="24">
        <v>0</v>
      </c>
      <c r="G34" s="24">
        <v>0</v>
      </c>
      <c r="H34" s="24">
        <v>0</v>
      </c>
      <c r="I34" s="24">
        <v>0</v>
      </c>
      <c r="J34" s="32"/>
    </row>
    <row r="35" spans="1:10" x14ac:dyDescent="0.25">
      <c r="A35" s="15" t="s">
        <v>101</v>
      </c>
      <c r="B35" s="16" t="s">
        <v>102</v>
      </c>
      <c r="C35" s="16" t="s">
        <v>103</v>
      </c>
      <c r="D35" s="18"/>
      <c r="E35" s="27" t="str">
        <f>IFERROR(E31/E33,"")</f>
        <v/>
      </c>
      <c r="F35" s="27">
        <f t="shared" ref="F35:I35" si="3">IFERROR(F31/F33,"")</f>
        <v>50.196428571428569</v>
      </c>
      <c r="G35" s="27">
        <f t="shared" si="3"/>
        <v>53.849000000000004</v>
      </c>
      <c r="H35" s="27">
        <f t="shared" si="3"/>
        <v>47.876404494382022</v>
      </c>
      <c r="I35" s="27">
        <f t="shared" si="3"/>
        <v>0</v>
      </c>
      <c r="J35" s="32"/>
    </row>
    <row r="36" spans="1:10" ht="25.5" x14ac:dyDescent="0.25">
      <c r="A36" s="15" t="s">
        <v>104</v>
      </c>
      <c r="B36" s="16" t="s">
        <v>105</v>
      </c>
      <c r="C36" s="16" t="s">
        <v>106</v>
      </c>
      <c r="D36" s="18"/>
      <c r="E36" s="27" t="str">
        <f>IF(E30=0,"",E30/E34)</f>
        <v/>
      </c>
      <c r="F36" s="27" t="str">
        <f t="shared" ref="F36:I36" si="4">IF(F30=0,"",F30/F34)</f>
        <v/>
      </c>
      <c r="G36" s="27" t="str">
        <f t="shared" si="4"/>
        <v/>
      </c>
      <c r="H36" s="27" t="str">
        <f t="shared" si="4"/>
        <v/>
      </c>
      <c r="I36" s="27" t="str">
        <f t="shared" si="4"/>
        <v/>
      </c>
      <c r="J36" s="32"/>
    </row>
    <row r="37" spans="1:10" ht="25.5" x14ac:dyDescent="0.25">
      <c r="A37" s="15" t="s">
        <v>107</v>
      </c>
      <c r="B37" s="16" t="s">
        <v>108</v>
      </c>
      <c r="C37" s="16" t="s">
        <v>109</v>
      </c>
      <c r="D37" s="28" t="s">
        <v>110</v>
      </c>
      <c r="E37" s="19">
        <f>E38+E39</f>
        <v>0</v>
      </c>
      <c r="F37" s="19">
        <f t="shared" ref="F37:I37" si="5">F38+F39</f>
        <v>84</v>
      </c>
      <c r="G37" s="19">
        <v>80</v>
      </c>
      <c r="H37" s="19">
        <f t="shared" si="5"/>
        <v>94</v>
      </c>
      <c r="I37" s="19">
        <f t="shared" si="5"/>
        <v>94</v>
      </c>
      <c r="J37" s="32"/>
    </row>
    <row r="38" spans="1:10" ht="25.5" x14ac:dyDescent="0.25">
      <c r="A38" s="15" t="s">
        <v>111</v>
      </c>
      <c r="B38" s="16" t="s">
        <v>112</v>
      </c>
      <c r="C38" s="16" t="s">
        <v>113</v>
      </c>
      <c r="D38" s="23"/>
      <c r="E38" s="24"/>
      <c r="F38" s="24">
        <v>0</v>
      </c>
      <c r="G38" s="24">
        <v>0</v>
      </c>
      <c r="H38" s="24">
        <v>0</v>
      </c>
      <c r="I38" s="24">
        <v>0</v>
      </c>
      <c r="J38" s="32"/>
    </row>
    <row r="39" spans="1:10" ht="25.5" x14ac:dyDescent="0.25">
      <c r="A39" s="15" t="s">
        <v>114</v>
      </c>
      <c r="B39" s="16" t="s">
        <v>115</v>
      </c>
      <c r="C39" s="16" t="s">
        <v>116</v>
      </c>
      <c r="D39" s="23"/>
      <c r="E39" s="24"/>
      <c r="F39" s="24">
        <v>84</v>
      </c>
      <c r="G39" s="24">
        <v>80</v>
      </c>
      <c r="H39" s="24">
        <v>94</v>
      </c>
      <c r="I39" s="24">
        <v>94</v>
      </c>
      <c r="J39" s="57" t="s">
        <v>335</v>
      </c>
    </row>
    <row r="40" spans="1:10" ht="25.5" x14ac:dyDescent="0.25">
      <c r="A40" s="15" t="s">
        <v>117</v>
      </c>
      <c r="B40" s="16" t="s">
        <v>118</v>
      </c>
      <c r="C40" s="16"/>
      <c r="D40" s="18"/>
      <c r="E40" s="19">
        <f>E41+E42</f>
        <v>0</v>
      </c>
      <c r="F40" s="19">
        <f>F41+F42</f>
        <v>85</v>
      </c>
      <c r="G40" s="19">
        <v>83</v>
      </c>
      <c r="H40" s="19">
        <f t="shared" ref="H40:I40" si="6">H41+H42</f>
        <v>94</v>
      </c>
      <c r="I40" s="19">
        <f t="shared" si="6"/>
        <v>94</v>
      </c>
      <c r="J40" s="32"/>
    </row>
    <row r="41" spans="1:10" ht="25.5" x14ac:dyDescent="0.25">
      <c r="A41" s="15" t="s">
        <v>119</v>
      </c>
      <c r="B41" s="16" t="s">
        <v>120</v>
      </c>
      <c r="C41" s="16" t="s">
        <v>121</v>
      </c>
      <c r="D41" s="23" t="s">
        <v>110</v>
      </c>
      <c r="E41" s="24"/>
      <c r="F41" s="24">
        <v>3</v>
      </c>
      <c r="G41" s="24">
        <v>3</v>
      </c>
      <c r="H41" s="24">
        <v>3</v>
      </c>
      <c r="I41" s="24">
        <v>3</v>
      </c>
      <c r="J41" s="32"/>
    </row>
    <row r="42" spans="1:10" ht="25.5" x14ac:dyDescent="0.25">
      <c r="A42" s="15" t="s">
        <v>122</v>
      </c>
      <c r="B42" s="16" t="s">
        <v>123</v>
      </c>
      <c r="C42" s="16" t="s">
        <v>124</v>
      </c>
      <c r="D42" s="28" t="s">
        <v>110</v>
      </c>
      <c r="E42" s="19">
        <f>SUM(E43:E44)</f>
        <v>0</v>
      </c>
      <c r="F42" s="19">
        <f t="shared" ref="F42:I42" si="7">SUM(F43:F44)</f>
        <v>82</v>
      </c>
      <c r="G42" s="19">
        <v>80</v>
      </c>
      <c r="H42" s="19">
        <f t="shared" si="7"/>
        <v>91</v>
      </c>
      <c r="I42" s="19">
        <f t="shared" si="7"/>
        <v>91</v>
      </c>
      <c r="J42" s="32"/>
    </row>
    <row r="43" spans="1:10" ht="25.5" x14ac:dyDescent="0.25">
      <c r="A43" s="15" t="s">
        <v>125</v>
      </c>
      <c r="B43" s="29" t="s">
        <v>126</v>
      </c>
      <c r="C43" s="16" t="s">
        <v>127</v>
      </c>
      <c r="D43" s="23"/>
      <c r="E43" s="24"/>
      <c r="F43" s="24">
        <v>0</v>
      </c>
      <c r="G43" s="24">
        <v>0</v>
      </c>
      <c r="H43" s="24">
        <v>0</v>
      </c>
      <c r="I43" s="24">
        <v>0</v>
      </c>
      <c r="J43" s="32"/>
    </row>
    <row r="44" spans="1:10" x14ac:dyDescent="0.25">
      <c r="A44" s="15" t="s">
        <v>128</v>
      </c>
      <c r="B44" s="29" t="s">
        <v>129</v>
      </c>
      <c r="C44" s="16" t="s">
        <v>130</v>
      </c>
      <c r="D44" s="23"/>
      <c r="E44" s="24"/>
      <c r="F44" s="24">
        <v>82</v>
      </c>
      <c r="G44" s="24">
        <v>80</v>
      </c>
      <c r="H44" s="24">
        <v>91</v>
      </c>
      <c r="I44" s="24">
        <v>91</v>
      </c>
      <c r="J44" s="32"/>
    </row>
    <row r="45" spans="1:10" ht="25.5" x14ac:dyDescent="0.25">
      <c r="A45" s="15" t="s">
        <v>131</v>
      </c>
      <c r="B45" s="16" t="s">
        <v>132</v>
      </c>
      <c r="C45" s="16" t="s">
        <v>133</v>
      </c>
      <c r="D45" s="23"/>
      <c r="E45" s="24"/>
      <c r="F45" s="24">
        <v>0</v>
      </c>
      <c r="G45" s="24">
        <v>0</v>
      </c>
      <c r="H45" s="24">
        <v>0</v>
      </c>
      <c r="I45" s="24">
        <v>0</v>
      </c>
      <c r="J45" s="32"/>
    </row>
    <row r="46" spans="1:10" ht="25.5" x14ac:dyDescent="0.25">
      <c r="A46" s="15" t="s">
        <v>134</v>
      </c>
      <c r="B46" s="16" t="s">
        <v>135</v>
      </c>
      <c r="C46" s="16" t="s">
        <v>136</v>
      </c>
      <c r="D46" s="23"/>
      <c r="E46" s="24"/>
      <c r="F46" s="24">
        <v>2</v>
      </c>
      <c r="G46" s="24">
        <v>1</v>
      </c>
      <c r="H46" s="24">
        <v>3</v>
      </c>
      <c r="I46" s="24">
        <v>4</v>
      </c>
      <c r="J46" s="32"/>
    </row>
    <row r="47" spans="1:10" x14ac:dyDescent="0.25">
      <c r="A47" s="15" t="s">
        <v>137</v>
      </c>
      <c r="B47" s="16" t="s">
        <v>138</v>
      </c>
      <c r="C47" s="16" t="s">
        <v>139</v>
      </c>
      <c r="D47" s="23"/>
      <c r="E47" s="24"/>
      <c r="F47" s="24">
        <v>5</v>
      </c>
      <c r="G47" s="24">
        <v>5</v>
      </c>
      <c r="H47" s="24">
        <v>5</v>
      </c>
      <c r="I47" s="24">
        <v>5</v>
      </c>
      <c r="J47" s="32"/>
    </row>
    <row r="48" spans="1:10" x14ac:dyDescent="0.25">
      <c r="A48" s="15" t="s">
        <v>140</v>
      </c>
      <c r="B48" s="16" t="s">
        <v>141</v>
      </c>
      <c r="C48" s="16" t="s">
        <v>142</v>
      </c>
      <c r="D48" s="23"/>
      <c r="E48" s="24"/>
      <c r="F48" s="24">
        <v>1</v>
      </c>
      <c r="G48" s="24">
        <v>1</v>
      </c>
      <c r="H48" s="24">
        <v>1</v>
      </c>
      <c r="I48" s="24">
        <v>1</v>
      </c>
      <c r="J48" s="32"/>
    </row>
    <row r="49" spans="1:10" x14ac:dyDescent="0.25">
      <c r="A49" s="15" t="s">
        <v>143</v>
      </c>
      <c r="B49" s="16" t="s">
        <v>144</v>
      </c>
      <c r="C49" s="16" t="s">
        <v>145</v>
      </c>
      <c r="D49" s="23" t="s">
        <v>146</v>
      </c>
      <c r="E49" s="24"/>
      <c r="F49" s="24">
        <v>15.5</v>
      </c>
      <c r="G49" s="24">
        <v>16</v>
      </c>
      <c r="H49" s="51">
        <v>15.51</v>
      </c>
      <c r="I49" s="51">
        <v>15.48</v>
      </c>
      <c r="J49" s="32"/>
    </row>
    <row r="50" spans="1:10" x14ac:dyDescent="0.25">
      <c r="A50" s="15" t="s">
        <v>147</v>
      </c>
      <c r="B50" s="16" t="s">
        <v>330</v>
      </c>
      <c r="C50" s="16" t="s">
        <v>148</v>
      </c>
      <c r="D50" s="26"/>
      <c r="E50" s="19">
        <f>E51+E52</f>
        <v>0</v>
      </c>
      <c r="F50" s="19">
        <f t="shared" ref="F50:I50" si="8">F51+F52</f>
        <v>5</v>
      </c>
      <c r="G50" s="19">
        <v>9</v>
      </c>
      <c r="H50" s="19">
        <f>H51+H52</f>
        <v>5</v>
      </c>
      <c r="I50" s="19">
        <f t="shared" si="8"/>
        <v>5</v>
      </c>
      <c r="J50" s="32"/>
    </row>
    <row r="51" spans="1:10" x14ac:dyDescent="0.25">
      <c r="A51" s="15" t="s">
        <v>149</v>
      </c>
      <c r="B51" s="29" t="s">
        <v>150</v>
      </c>
      <c r="C51" s="16"/>
      <c r="D51" s="26"/>
      <c r="E51" s="24"/>
      <c r="F51" s="24">
        <v>5</v>
      </c>
      <c r="G51" s="24">
        <v>9</v>
      </c>
      <c r="H51" s="24">
        <v>0</v>
      </c>
      <c r="I51" s="24">
        <v>0</v>
      </c>
      <c r="J51" s="32"/>
    </row>
    <row r="52" spans="1:10" x14ac:dyDescent="0.25">
      <c r="A52" s="15" t="s">
        <v>151</v>
      </c>
      <c r="B52" s="29" t="s">
        <v>152</v>
      </c>
      <c r="C52" s="16"/>
      <c r="D52" s="26"/>
      <c r="E52" s="24"/>
      <c r="F52" s="24">
        <v>0</v>
      </c>
      <c r="G52" s="24">
        <v>5</v>
      </c>
      <c r="H52" s="24">
        <v>5</v>
      </c>
      <c r="I52" s="24">
        <v>5</v>
      </c>
      <c r="J52" s="53"/>
    </row>
    <row r="53" spans="1:10" ht="38.25" x14ac:dyDescent="0.25">
      <c r="A53" s="15" t="s">
        <v>153</v>
      </c>
      <c r="B53" s="16" t="s">
        <v>331</v>
      </c>
      <c r="C53" s="16" t="s">
        <v>154</v>
      </c>
      <c r="D53" s="26"/>
      <c r="E53" s="19">
        <f>SUM(E54:E55)</f>
        <v>0</v>
      </c>
      <c r="F53" s="19">
        <f>SUM(F54:F55)</f>
        <v>0</v>
      </c>
      <c r="G53" s="19">
        <f>SUM(G54:G55)</f>
        <v>0</v>
      </c>
      <c r="H53" s="19">
        <f>SUM(H54:H55)</f>
        <v>10.35</v>
      </c>
      <c r="I53" s="19">
        <f>SUM(I54:I55)</f>
        <v>9.75</v>
      </c>
      <c r="J53" s="56"/>
    </row>
    <row r="54" spans="1:10" x14ac:dyDescent="0.25">
      <c r="A54" s="15"/>
      <c r="B54" s="16" t="s">
        <v>332</v>
      </c>
      <c r="C54" s="16"/>
      <c r="D54" s="26"/>
      <c r="E54" s="24"/>
      <c r="F54" s="24"/>
      <c r="G54" s="24"/>
      <c r="H54" s="24">
        <v>0</v>
      </c>
      <c r="I54" s="24">
        <v>0</v>
      </c>
      <c r="J54" s="56"/>
    </row>
    <row r="55" spans="1:10" x14ac:dyDescent="0.25">
      <c r="A55" s="15"/>
      <c r="B55" s="16" t="s">
        <v>333</v>
      </c>
      <c r="C55" s="16"/>
      <c r="D55" s="26"/>
      <c r="E55" s="24"/>
      <c r="F55" s="24"/>
      <c r="G55" s="24"/>
      <c r="H55" s="24">
        <v>10.35</v>
      </c>
      <c r="I55" s="24">
        <v>9.75</v>
      </c>
      <c r="J55" s="56"/>
    </row>
    <row r="56" spans="1:10" x14ac:dyDescent="0.25">
      <c r="A56" s="15"/>
      <c r="B56" s="16" t="s">
        <v>334</v>
      </c>
      <c r="C56" s="16"/>
      <c r="D56" s="26"/>
      <c r="E56" s="19"/>
      <c r="F56" s="19"/>
      <c r="G56" s="19"/>
      <c r="H56" s="19">
        <f>SUM(H57:H58)</f>
        <v>26</v>
      </c>
      <c r="I56" s="19">
        <f>I57+I58</f>
        <v>25</v>
      </c>
      <c r="J56" s="56"/>
    </row>
    <row r="57" spans="1:10" x14ac:dyDescent="0.25">
      <c r="A57" s="15"/>
      <c r="B57" s="29" t="s">
        <v>150</v>
      </c>
      <c r="C57" s="16"/>
      <c r="D57" s="26"/>
      <c r="E57" s="24"/>
      <c r="F57" s="24"/>
      <c r="G57" s="24"/>
      <c r="H57" s="24">
        <v>26</v>
      </c>
      <c r="I57" s="24">
        <v>25</v>
      </c>
      <c r="J57" s="56"/>
    </row>
    <row r="58" spans="1:10" x14ac:dyDescent="0.25">
      <c r="A58" s="15"/>
      <c r="B58" s="29" t="s">
        <v>152</v>
      </c>
      <c r="C58" s="16"/>
      <c r="D58" s="26"/>
      <c r="E58" s="24"/>
      <c r="F58" s="24"/>
      <c r="G58" s="24"/>
      <c r="H58" s="24">
        <v>0</v>
      </c>
      <c r="I58" s="24">
        <v>0</v>
      </c>
      <c r="J58" s="56"/>
    </row>
    <row r="59" spans="1:10" ht="25.5" x14ac:dyDescent="0.25">
      <c r="A59" s="15" t="s">
        <v>155</v>
      </c>
      <c r="B59" s="16" t="s">
        <v>80</v>
      </c>
      <c r="C59" s="16"/>
      <c r="D59" s="26"/>
      <c r="E59" s="24"/>
      <c r="F59" s="24">
        <v>18.399999999999999</v>
      </c>
      <c r="G59" s="24">
        <v>33.1</v>
      </c>
      <c r="H59" s="24">
        <v>72.760000000000005</v>
      </c>
      <c r="I59" s="24">
        <v>72.75</v>
      </c>
      <c r="J59" s="32"/>
    </row>
    <row r="60" spans="1:10" ht="76.5" x14ac:dyDescent="0.25">
      <c r="A60" s="15" t="s">
        <v>156</v>
      </c>
      <c r="B60" s="16" t="s">
        <v>157</v>
      </c>
      <c r="C60" s="16"/>
      <c r="D60" s="26"/>
      <c r="E60" s="24"/>
      <c r="F60" s="24">
        <v>27.4</v>
      </c>
      <c r="G60" s="24">
        <v>49.87</v>
      </c>
      <c r="H60" s="24">
        <v>49.62</v>
      </c>
      <c r="I60" s="24">
        <v>49.13</v>
      </c>
      <c r="J60" s="32"/>
    </row>
    <row r="61" spans="1:10" ht="51" x14ac:dyDescent="0.25">
      <c r="A61" s="15" t="s">
        <v>158</v>
      </c>
      <c r="B61" s="16" t="s">
        <v>159</v>
      </c>
      <c r="C61" s="16"/>
      <c r="D61" s="26"/>
      <c r="E61" s="24"/>
      <c r="F61" s="24">
        <v>410</v>
      </c>
      <c r="G61" s="24">
        <v>386.54</v>
      </c>
      <c r="H61" s="24">
        <v>444.4</v>
      </c>
      <c r="I61" s="24">
        <v>443.24</v>
      </c>
      <c r="J61" s="32"/>
    </row>
    <row r="62" spans="1:10" x14ac:dyDescent="0.25">
      <c r="A62" s="12" t="s">
        <v>160</v>
      </c>
      <c r="B62" s="13"/>
      <c r="C62" s="13" t="s">
        <v>161</v>
      </c>
      <c r="D62" s="14"/>
      <c r="E62" s="14"/>
      <c r="F62" s="14"/>
      <c r="G62" s="14"/>
      <c r="H62" s="14"/>
      <c r="I62" s="14"/>
      <c r="J62" s="14"/>
    </row>
    <row r="63" spans="1:10" ht="25.5" x14ac:dyDescent="0.25">
      <c r="A63" s="15" t="s">
        <v>162</v>
      </c>
      <c r="B63" s="16" t="s">
        <v>163</v>
      </c>
      <c r="C63" s="16" t="s">
        <v>164</v>
      </c>
      <c r="D63" s="28" t="s">
        <v>165</v>
      </c>
      <c r="E63" s="30" t="str">
        <f>IFERROR(E11/E9,"")</f>
        <v/>
      </c>
      <c r="F63" s="30">
        <f t="shared" ref="F63:I63" si="9">IFERROR(F11/F9,"")</f>
        <v>0.30208995676713418</v>
      </c>
      <c r="G63" s="30">
        <f t="shared" si="9"/>
        <v>0.30175771662510553</v>
      </c>
      <c r="H63" s="30">
        <f t="shared" si="9"/>
        <v>0.30056029327966</v>
      </c>
      <c r="I63" s="30">
        <f t="shared" si="9"/>
        <v>0.33647257955314819</v>
      </c>
      <c r="J63" s="32"/>
    </row>
    <row r="64" spans="1:10" x14ac:dyDescent="0.25">
      <c r="A64" s="15" t="s">
        <v>166</v>
      </c>
      <c r="B64" s="16" t="s">
        <v>167</v>
      </c>
      <c r="C64" s="16" t="s">
        <v>168</v>
      </c>
      <c r="D64" s="28" t="s">
        <v>169</v>
      </c>
      <c r="E64" s="30" t="str">
        <f>IFERROR(E10/E9,"")</f>
        <v/>
      </c>
      <c r="F64" s="30">
        <f t="shared" ref="F64:I64" si="10">IFERROR(F10/F9,"")</f>
        <v>0.29214713413481486</v>
      </c>
      <c r="G64" s="30">
        <f t="shared" si="10"/>
        <v>0.29712688252272768</v>
      </c>
      <c r="H64" s="30">
        <f t="shared" si="10"/>
        <v>0.29461986387636868</v>
      </c>
      <c r="I64" s="30">
        <f t="shared" si="10"/>
        <v>0.32641841570751523</v>
      </c>
      <c r="J64" s="32"/>
    </row>
    <row r="65" spans="1:10" ht="25.5" x14ac:dyDescent="0.25">
      <c r="A65" s="15" t="s">
        <v>170</v>
      </c>
      <c r="B65" s="16" t="s">
        <v>171</v>
      </c>
      <c r="C65" s="16" t="s">
        <v>172</v>
      </c>
      <c r="D65" s="28" t="s">
        <v>173</v>
      </c>
      <c r="E65" s="30" t="str">
        <f>IFERROR(E29/E21,"")</f>
        <v/>
      </c>
      <c r="F65" s="30">
        <f>F29/F21</f>
        <v>0.6962969254289112</v>
      </c>
      <c r="G65" s="30">
        <f>G29/G21</f>
        <v>0.69608683802952653</v>
      </c>
      <c r="H65" s="30">
        <f>H29/H21</f>
        <v>0.69315889833689504</v>
      </c>
      <c r="I65" s="30">
        <f>I29/I21</f>
        <v>0.69296521811660683</v>
      </c>
      <c r="J65" s="32"/>
    </row>
    <row r="66" spans="1:10" ht="25.5" x14ac:dyDescent="0.25">
      <c r="A66" s="15" t="s">
        <v>174</v>
      </c>
      <c r="B66" s="16" t="s">
        <v>175</v>
      </c>
      <c r="C66" s="16" t="s">
        <v>176</v>
      </c>
      <c r="D66" s="28" t="s">
        <v>173</v>
      </c>
      <c r="E66" s="30" t="str">
        <f>IFERROR(E29/(E21+E24),"")</f>
        <v/>
      </c>
      <c r="F66" s="30">
        <f t="shared" ref="F66:I66" si="11">IFERROR(F29/(F21+F24),"")</f>
        <v>0.47608594657375147</v>
      </c>
      <c r="G66" s="30">
        <f t="shared" si="11"/>
        <v>0.48021277571422027</v>
      </c>
      <c r="H66" s="30">
        <f t="shared" si="11"/>
        <v>0.46548108248600739</v>
      </c>
      <c r="I66" s="30">
        <f t="shared" si="11"/>
        <v>0.46508279498863592</v>
      </c>
      <c r="J66" s="32"/>
    </row>
    <row r="67" spans="1:10" ht="25.5" x14ac:dyDescent="0.25">
      <c r="A67" s="15" t="s">
        <v>177</v>
      </c>
      <c r="B67" s="16" t="s">
        <v>178</v>
      </c>
      <c r="C67" s="16" t="s">
        <v>179</v>
      </c>
      <c r="D67" s="28" t="s">
        <v>169</v>
      </c>
      <c r="E67" s="30" t="str">
        <f>IFERROR(E24/E42,"")</f>
        <v/>
      </c>
      <c r="F67" s="30">
        <f t="shared" ref="F67:I67" si="12">IFERROR(F24/F42,"")</f>
        <v>33.207317073170735</v>
      </c>
      <c r="G67" s="30">
        <f t="shared" si="12"/>
        <v>33.814499999999995</v>
      </c>
      <c r="H67" s="30">
        <f t="shared" si="12"/>
        <v>32.21879120879121</v>
      </c>
      <c r="I67" s="30">
        <f t="shared" si="12"/>
        <v>32.276923076923076</v>
      </c>
      <c r="J67" s="32"/>
    </row>
    <row r="68" spans="1:10" ht="25.5" x14ac:dyDescent="0.25">
      <c r="A68" s="15" t="s">
        <v>180</v>
      </c>
      <c r="B68" s="16" t="s">
        <v>181</v>
      </c>
      <c r="C68" s="16" t="s">
        <v>182</v>
      </c>
      <c r="D68" s="18"/>
      <c r="E68" s="30" t="str">
        <f>IFERROR(E25/E42,"")</f>
        <v/>
      </c>
      <c r="F68" s="30">
        <f t="shared" ref="F68:I68" si="13">IFERROR(F25/F42,"")</f>
        <v>27.890243902439025</v>
      </c>
      <c r="G68" s="30">
        <f t="shared" si="13"/>
        <v>28.342750000000002</v>
      </c>
      <c r="H68" s="30">
        <f t="shared" si="13"/>
        <v>27.375494505494505</v>
      </c>
      <c r="I68" s="30">
        <f t="shared" si="13"/>
        <v>27.010989010989011</v>
      </c>
      <c r="J68" s="32"/>
    </row>
    <row r="69" spans="1:10" x14ac:dyDescent="0.25">
      <c r="A69" s="15" t="s">
        <v>183</v>
      </c>
      <c r="B69" s="16" t="s">
        <v>184</v>
      </c>
      <c r="C69" s="16" t="s">
        <v>184</v>
      </c>
      <c r="D69" s="18"/>
      <c r="E69" s="30" t="str">
        <f>IFERROR(E20/E9,"")</f>
        <v/>
      </c>
      <c r="F69" s="30">
        <f t="shared" ref="F69:I69" si="14">IFERROR(F20/F9,"")</f>
        <v>1.5551409303044958</v>
      </c>
      <c r="G69" s="30">
        <f t="shared" si="14"/>
        <v>1.587725068232245</v>
      </c>
      <c r="H69" s="30">
        <f t="shared" si="14"/>
        <v>1.5809783977715444</v>
      </c>
      <c r="I69" s="30">
        <f t="shared" si="14"/>
        <v>1.7483222748815166</v>
      </c>
      <c r="J69" s="32" t="s">
        <v>327</v>
      </c>
    </row>
    <row r="70" spans="1:10" x14ac:dyDescent="0.25">
      <c r="A70" s="15" t="s">
        <v>185</v>
      </c>
      <c r="B70" s="16" t="s">
        <v>186</v>
      </c>
      <c r="C70" s="16" t="s">
        <v>186</v>
      </c>
      <c r="D70" s="18"/>
      <c r="E70" s="30" t="str">
        <f>IFERROR(E29/E9,"")</f>
        <v/>
      </c>
      <c r="F70" s="30">
        <f>IFERROR(F29/F9,"")</f>
        <v>1.0063364012874114</v>
      </c>
      <c r="G70" s="30">
        <f>IFERROR(G29/G9,"")</f>
        <v>1.0280979402697874</v>
      </c>
      <c r="H70" s="30">
        <f t="shared" ref="H70:I70" si="15">IFERROR(H29/H9,"")</f>
        <v>1.0161435876867542</v>
      </c>
      <c r="I70" s="30">
        <f t="shared" si="15"/>
        <v>1.1249776574136763</v>
      </c>
      <c r="J70" s="32"/>
    </row>
    <row r="71" spans="1:10" x14ac:dyDescent="0.25">
      <c r="A71" s="12" t="s">
        <v>187</v>
      </c>
      <c r="B71" s="13" t="s">
        <v>188</v>
      </c>
      <c r="C71" s="13" t="s">
        <v>189</v>
      </c>
      <c r="D71" s="14"/>
      <c r="E71" s="14"/>
      <c r="F71" s="14"/>
      <c r="G71" s="14"/>
      <c r="H71" s="14"/>
      <c r="I71" s="14"/>
      <c r="J71" s="14"/>
    </row>
    <row r="72" spans="1:10" x14ac:dyDescent="0.25">
      <c r="A72" s="15" t="s">
        <v>190</v>
      </c>
      <c r="B72" s="16" t="s">
        <v>191</v>
      </c>
      <c r="C72" s="16" t="s">
        <v>192</v>
      </c>
      <c r="D72" s="34"/>
      <c r="E72" s="24"/>
      <c r="F72" s="24">
        <v>4</v>
      </c>
      <c r="G72" s="24">
        <v>4</v>
      </c>
      <c r="H72" s="24">
        <v>4</v>
      </c>
      <c r="I72" s="24">
        <v>4</v>
      </c>
      <c r="J72" s="32"/>
    </row>
    <row r="73" spans="1:10" x14ac:dyDescent="0.25">
      <c r="A73" s="15" t="s">
        <v>193</v>
      </c>
      <c r="B73" s="16" t="s">
        <v>194</v>
      </c>
      <c r="C73" s="16" t="s">
        <v>195</v>
      </c>
      <c r="D73" s="34"/>
      <c r="E73" s="24"/>
      <c r="F73" s="24">
        <v>4</v>
      </c>
      <c r="G73" s="24">
        <v>4</v>
      </c>
      <c r="H73" s="24">
        <v>4</v>
      </c>
      <c r="I73" s="24">
        <v>4</v>
      </c>
      <c r="J73" s="32"/>
    </row>
    <row r="74" spans="1:10" ht="60" x14ac:dyDescent="0.25">
      <c r="A74" s="15" t="s">
        <v>196</v>
      </c>
      <c r="B74" s="16" t="s">
        <v>197</v>
      </c>
      <c r="C74" s="16" t="s">
        <v>198</v>
      </c>
      <c r="D74" s="34"/>
      <c r="E74" s="24"/>
      <c r="F74" s="24"/>
      <c r="G74" s="24">
        <v>3517</v>
      </c>
      <c r="H74" s="24">
        <v>3719.02</v>
      </c>
      <c r="I74" s="24">
        <v>3722.74</v>
      </c>
      <c r="J74" s="43" t="s">
        <v>199</v>
      </c>
    </row>
    <row r="75" spans="1:10" ht="30" x14ac:dyDescent="0.25">
      <c r="A75" s="15" t="s">
        <v>200</v>
      </c>
      <c r="B75" s="16" t="s">
        <v>201</v>
      </c>
      <c r="C75" s="16" t="s">
        <v>202</v>
      </c>
      <c r="D75" s="34"/>
      <c r="E75" s="24"/>
      <c r="F75" s="24"/>
      <c r="G75" s="24">
        <v>650.5</v>
      </c>
      <c r="H75" s="24">
        <v>827.7</v>
      </c>
      <c r="I75" s="24">
        <v>874.52</v>
      </c>
      <c r="J75" s="43" t="s">
        <v>203</v>
      </c>
    </row>
    <row r="76" spans="1:10" ht="30" x14ac:dyDescent="0.25">
      <c r="A76" s="15" t="s">
        <v>204</v>
      </c>
      <c r="B76" s="16" t="s">
        <v>205</v>
      </c>
      <c r="C76" s="16" t="s">
        <v>206</v>
      </c>
      <c r="D76" s="34"/>
      <c r="E76" s="24"/>
      <c r="F76" s="24"/>
      <c r="G76" s="24">
        <v>0</v>
      </c>
      <c r="H76" s="24">
        <v>0</v>
      </c>
      <c r="I76" s="24">
        <v>0</v>
      </c>
      <c r="J76" s="43" t="s">
        <v>207</v>
      </c>
    </row>
    <row r="77" spans="1:10" ht="51" x14ac:dyDescent="0.25">
      <c r="A77" s="15" t="s">
        <v>208</v>
      </c>
      <c r="B77" s="16" t="s">
        <v>209</v>
      </c>
      <c r="C77" s="16"/>
      <c r="D77" s="34"/>
      <c r="E77" s="24"/>
      <c r="F77" s="24"/>
      <c r="G77" s="24">
        <v>27</v>
      </c>
      <c r="H77" s="24">
        <v>28.7</v>
      </c>
      <c r="I77" s="24">
        <v>29</v>
      </c>
      <c r="J77" s="43" t="s">
        <v>210</v>
      </c>
    </row>
    <row r="78" spans="1:10" ht="30" x14ac:dyDescent="0.25">
      <c r="A78" s="15" t="s">
        <v>211</v>
      </c>
      <c r="B78" s="16" t="s">
        <v>212</v>
      </c>
      <c r="C78" s="16"/>
      <c r="D78" s="26"/>
      <c r="E78" s="24"/>
      <c r="F78" s="24"/>
      <c r="G78" s="24"/>
      <c r="H78" s="24"/>
      <c r="I78" s="24"/>
      <c r="J78" s="43" t="s">
        <v>213</v>
      </c>
    </row>
    <row r="79" spans="1:10" ht="30" x14ac:dyDescent="0.25">
      <c r="A79" s="15" t="s">
        <v>214</v>
      </c>
      <c r="B79" s="16" t="s">
        <v>215</v>
      </c>
      <c r="C79" s="16"/>
      <c r="D79" s="26"/>
      <c r="E79" s="24"/>
      <c r="F79" s="24"/>
      <c r="G79" s="24"/>
      <c r="H79" s="24"/>
      <c r="I79" s="24"/>
      <c r="J79" s="43" t="s">
        <v>216</v>
      </c>
    </row>
    <row r="80" spans="1:10" x14ac:dyDescent="0.25">
      <c r="A80" s="15" t="s">
        <v>217</v>
      </c>
      <c r="B80" s="16" t="s">
        <v>218</v>
      </c>
      <c r="C80" s="16" t="s">
        <v>219</v>
      </c>
      <c r="D80" s="34"/>
      <c r="E80" s="24"/>
      <c r="F80" s="24"/>
      <c r="G80" s="24">
        <v>230.251</v>
      </c>
      <c r="H80" s="24">
        <v>232.02</v>
      </c>
      <c r="I80" s="24">
        <v>232.03</v>
      </c>
      <c r="J80" s="32"/>
    </row>
    <row r="81" spans="1:10" x14ac:dyDescent="0.25">
      <c r="A81" s="15" t="s">
        <v>220</v>
      </c>
      <c r="B81" s="16" t="s">
        <v>221</v>
      </c>
      <c r="C81" s="16" t="s">
        <v>222</v>
      </c>
      <c r="D81" s="34"/>
      <c r="E81" s="24"/>
      <c r="F81" s="24"/>
      <c r="G81" s="24">
        <v>224.03899999999999</v>
      </c>
      <c r="H81" s="24">
        <v>234.46</v>
      </c>
      <c r="I81" s="24">
        <v>234.71</v>
      </c>
      <c r="J81" s="32"/>
    </row>
    <row r="82" spans="1:10" x14ac:dyDescent="0.25">
      <c r="A82" s="15" t="s">
        <v>223</v>
      </c>
      <c r="B82" s="16" t="s">
        <v>224</v>
      </c>
      <c r="C82" s="16" t="s">
        <v>225</v>
      </c>
      <c r="D82" s="34"/>
      <c r="E82" s="24"/>
      <c r="F82" s="50">
        <v>2.62</v>
      </c>
      <c r="G82" s="50">
        <v>2.62</v>
      </c>
      <c r="H82" s="52">
        <v>2.62</v>
      </c>
      <c r="I82" s="40">
        <v>2.62</v>
      </c>
      <c r="J82" s="32"/>
    </row>
    <row r="83" spans="1:10" ht="25.5" x14ac:dyDescent="0.25">
      <c r="A83" s="15" t="s">
        <v>226</v>
      </c>
      <c r="B83" s="16" t="s">
        <v>227</v>
      </c>
      <c r="C83" s="16" t="s">
        <v>228</v>
      </c>
      <c r="D83" s="34"/>
      <c r="E83" s="24"/>
      <c r="F83" s="50">
        <v>2.97</v>
      </c>
      <c r="G83" s="50">
        <v>2.97</v>
      </c>
      <c r="H83" s="52">
        <v>2.97</v>
      </c>
      <c r="I83" s="40">
        <v>2.97</v>
      </c>
      <c r="J83" s="32"/>
    </row>
    <row r="84" spans="1:10" x14ac:dyDescent="0.25">
      <c r="A84" s="12" t="s">
        <v>229</v>
      </c>
      <c r="B84" s="13" t="s">
        <v>230</v>
      </c>
      <c r="C84" s="13" t="s">
        <v>231</v>
      </c>
      <c r="D84" s="14"/>
      <c r="E84" s="14"/>
      <c r="F84" s="14"/>
      <c r="G84" s="14"/>
      <c r="H84" s="14"/>
      <c r="I84" s="14"/>
      <c r="J84" s="14"/>
    </row>
    <row r="85" spans="1:10" ht="30" x14ac:dyDescent="0.25">
      <c r="A85" s="15" t="s">
        <v>232</v>
      </c>
      <c r="B85" s="16" t="s">
        <v>233</v>
      </c>
      <c r="C85" s="16" t="s">
        <v>234</v>
      </c>
      <c r="D85" s="35" t="s">
        <v>235</v>
      </c>
      <c r="E85" s="49" t="str">
        <f>IFERROR(E31/(E31+E60+E61),"")</f>
        <v/>
      </c>
      <c r="F85" s="49">
        <f>IFERROR(F31/(F31+F60+F61),"")</f>
        <v>0.90601431057822479</v>
      </c>
      <c r="G85" s="49">
        <f>IFERROR(G31/(G31+G60+G61),"")</f>
        <v>0.90801440877847872</v>
      </c>
      <c r="H85" s="49">
        <f>IFERROR(H31/(H31+H60+H61),"")</f>
        <v>0.89610558946124319</v>
      </c>
      <c r="I85" s="49">
        <f>IFERROR(I31/(I31+I60+I61),"")</f>
        <v>0</v>
      </c>
      <c r="J85" s="44" t="s">
        <v>236</v>
      </c>
    </row>
    <row r="86" spans="1:10" x14ac:dyDescent="0.25">
      <c r="A86" s="15" t="s">
        <v>237</v>
      </c>
      <c r="B86" s="16" t="s">
        <v>238</v>
      </c>
      <c r="C86" s="16" t="s">
        <v>239</v>
      </c>
      <c r="D86" s="35" t="s">
        <v>240</v>
      </c>
      <c r="E86" s="49" t="str">
        <f>IFERROR(E31/(E21+E24),"")</f>
        <v/>
      </c>
      <c r="F86" s="49">
        <f>IFERROR(F31/(F21+F24),"")</f>
        <v>0.4897212543554007</v>
      </c>
      <c r="G86" s="49">
        <f>IFERROR(G31/(G21+G24),"")</f>
        <v>0.49386894116568081</v>
      </c>
      <c r="H86" s="49">
        <f>IFERROR(H31/(H21+H24),"")</f>
        <v>0.47736306480307239</v>
      </c>
      <c r="I86" s="49">
        <f>IFERROR(I31/(I21+I24),"")</f>
        <v>0</v>
      </c>
      <c r="J86" s="44" t="s">
        <v>241</v>
      </c>
    </row>
    <row r="87" spans="1:10" x14ac:dyDescent="0.25">
      <c r="A87" s="15" t="s">
        <v>242</v>
      </c>
      <c r="B87" s="16" t="s">
        <v>243</v>
      </c>
      <c r="C87" s="16" t="s">
        <v>244</v>
      </c>
      <c r="D87" s="35" t="s">
        <v>245</v>
      </c>
      <c r="E87" s="49" t="str">
        <f>IFERROR((E74+E78+E79)/E31,"")</f>
        <v/>
      </c>
      <c r="F87" s="49">
        <f>IFERROR((F74+F78+F79)/F31,"")</f>
        <v>0</v>
      </c>
      <c r="G87" s="49">
        <f>IFERROR((G74+G78+G79)/G31,"")</f>
        <v>0.81640327582684913</v>
      </c>
      <c r="H87" s="49">
        <f>IFERROR((H74+H78+H79)/H31,"")</f>
        <v>0.87280450598451065</v>
      </c>
      <c r="I87" s="49" t="str">
        <f>IFERROR((I74+I78+I79)/I31,"")</f>
        <v/>
      </c>
      <c r="J87" s="44"/>
    </row>
    <row r="88" spans="1:10" x14ac:dyDescent="0.25">
      <c r="A88" s="15" t="s">
        <v>246</v>
      </c>
      <c r="B88" s="16" t="s">
        <v>247</v>
      </c>
      <c r="C88" s="16" t="s">
        <v>248</v>
      </c>
      <c r="D88" s="35" t="s">
        <v>249</v>
      </c>
      <c r="E88" s="49" t="str">
        <f>IFERROR(E74/E31,"")</f>
        <v/>
      </c>
      <c r="F88" s="49">
        <f>IFERROR(F74/F31,"")</f>
        <v>0</v>
      </c>
      <c r="G88" s="49">
        <f>IFERROR(G74/G31,"")</f>
        <v>0.81640327582684913</v>
      </c>
      <c r="H88" s="49">
        <f>IFERROR(H74/H31,"")</f>
        <v>0.87280450598451065</v>
      </c>
      <c r="I88" s="49" t="str">
        <f>IFERROR(I74/I31,"")</f>
        <v/>
      </c>
      <c r="J88" s="44"/>
    </row>
    <row r="89" spans="1:10" x14ac:dyDescent="0.25">
      <c r="A89" s="15" t="s">
        <v>250</v>
      </c>
      <c r="B89" s="16" t="s">
        <v>251</v>
      </c>
      <c r="C89" s="16" t="s">
        <v>252</v>
      </c>
      <c r="D89" s="35" t="s">
        <v>253</v>
      </c>
      <c r="E89" s="49" t="str">
        <f>IFERROR(E31/E21,"")</f>
        <v/>
      </c>
      <c r="F89" s="49">
        <f>IFERROR(F31/F21,"")</f>
        <v>0.71623917105486667</v>
      </c>
      <c r="G89" s="49">
        <f>IFERROR(G31/G21,"")</f>
        <v>0.71588197366409423</v>
      </c>
      <c r="H89" s="49">
        <f>IFERROR(H31/H21,"")</f>
        <v>0.71085263946374921</v>
      </c>
      <c r="I89" s="49">
        <f>IFERROR(I31/I21,"")</f>
        <v>0</v>
      </c>
      <c r="J89" s="44" t="s">
        <v>241</v>
      </c>
    </row>
    <row r="90" spans="1:10" ht="30" x14ac:dyDescent="0.25">
      <c r="A90" s="15" t="s">
        <v>254</v>
      </c>
      <c r="B90" s="16" t="s">
        <v>255</v>
      </c>
      <c r="C90" s="16" t="s">
        <v>256</v>
      </c>
      <c r="D90" s="35" t="s">
        <v>257</v>
      </c>
      <c r="E90" s="49" t="str">
        <f>IFERROR((E24-E59-E28)/E42,"")</f>
        <v/>
      </c>
      <c r="F90" s="49">
        <f>IFERROR((F24-F59-F28)/F42,"")</f>
        <v>32.982926829268294</v>
      </c>
      <c r="G90" s="49">
        <f>IFERROR((G24-G59-G28)/G42,"")</f>
        <v>32.97925</v>
      </c>
      <c r="H90" s="49">
        <f>IFERROR((H24-H59-H28)/H42,"")</f>
        <v>30.619670329670324</v>
      </c>
      <c r="I90" s="49">
        <f>IFERROR((I24-I59-I28)/I42,"")</f>
        <v>30.678021978021977</v>
      </c>
      <c r="J90" s="44" t="s">
        <v>258</v>
      </c>
    </row>
    <row r="91" spans="1:10" x14ac:dyDescent="0.25">
      <c r="A91" s="15" t="s">
        <v>259</v>
      </c>
      <c r="B91" s="16" t="s">
        <v>260</v>
      </c>
      <c r="C91" s="16" t="s">
        <v>261</v>
      </c>
      <c r="D91" s="35" t="s">
        <v>262</v>
      </c>
      <c r="E91" s="49" t="str">
        <f>IFERROR(E31/E33,"")</f>
        <v/>
      </c>
      <c r="F91" s="49">
        <f>IFERROR(F31/F33,"")</f>
        <v>50.196428571428569</v>
      </c>
      <c r="G91" s="49">
        <f>IFERROR(G31/G33,"")</f>
        <v>53.849000000000004</v>
      </c>
      <c r="H91" s="49">
        <f>IFERROR(H31/H33,"")</f>
        <v>47.876404494382022</v>
      </c>
      <c r="I91" s="49">
        <f>IFERROR(I31/I33,"")</f>
        <v>0</v>
      </c>
      <c r="J91" s="44"/>
    </row>
    <row r="92" spans="1:10" x14ac:dyDescent="0.25">
      <c r="A92" s="15" t="s">
        <v>263</v>
      </c>
      <c r="B92" s="16" t="s">
        <v>264</v>
      </c>
      <c r="C92" s="16" t="s">
        <v>265</v>
      </c>
      <c r="D92" s="35" t="s">
        <v>266</v>
      </c>
      <c r="E92" s="49" t="str">
        <f>IFERROR(E31/(E72),"")</f>
        <v/>
      </c>
      <c r="F92" s="49">
        <f>IFERROR(F31/(F72),"")</f>
        <v>1054.125</v>
      </c>
      <c r="G92" s="49">
        <f>IFERROR(G31/(G72),"")</f>
        <v>1076.98</v>
      </c>
      <c r="H92" s="49">
        <f>IFERROR(H31/(H72),"")</f>
        <v>1065.25</v>
      </c>
      <c r="I92" s="49">
        <f>IFERROR(I31/(I72),"")</f>
        <v>0</v>
      </c>
      <c r="J92" s="44"/>
    </row>
    <row r="93" spans="1:10" x14ac:dyDescent="0.25">
      <c r="A93" s="15" t="s">
        <v>267</v>
      </c>
      <c r="B93" s="16" t="s">
        <v>268</v>
      </c>
      <c r="C93" s="16" t="s">
        <v>269</v>
      </c>
      <c r="D93" s="35" t="s">
        <v>270</v>
      </c>
      <c r="E93" s="49" t="str">
        <f>IFERROR(E75/E31,"")</f>
        <v/>
      </c>
      <c r="F93" s="49">
        <f>IFERROR(F75/F31,"")</f>
        <v>0</v>
      </c>
      <c r="G93" s="49">
        <f>IFERROR(G75/G31,"")</f>
        <v>0.15100094709279652</v>
      </c>
      <c r="H93" s="49">
        <f>IFERROR(H75/H31,"")</f>
        <v>0.19425017601501995</v>
      </c>
      <c r="I93" s="49" t="str">
        <f>IFERROR(I75/I31,"")</f>
        <v/>
      </c>
      <c r="J93" s="44"/>
    </row>
    <row r="94" spans="1:10" ht="51" x14ac:dyDescent="0.25">
      <c r="A94" s="15" t="s">
        <v>271</v>
      </c>
      <c r="B94" s="16" t="s">
        <v>272</v>
      </c>
      <c r="C94" s="16" t="s">
        <v>273</v>
      </c>
      <c r="D94" s="36" t="s">
        <v>274</v>
      </c>
      <c r="E94" s="49" t="str">
        <f>IFERROR(E33/E73,"")</f>
        <v/>
      </c>
      <c r="F94" s="49">
        <f>IFERROR(F33/F73,"")</f>
        <v>21</v>
      </c>
      <c r="G94" s="49">
        <f>IFERROR(G33/G73,"")</f>
        <v>20</v>
      </c>
      <c r="H94" s="49">
        <f>IFERROR(H33/H73,"")</f>
        <v>22.25</v>
      </c>
      <c r="I94" s="49">
        <f>IFERROR(I33/I73,"")</f>
        <v>22.25</v>
      </c>
      <c r="J94" s="44"/>
    </row>
    <row r="95" spans="1:10" ht="25.5" x14ac:dyDescent="0.25">
      <c r="A95" s="15" t="s">
        <v>275</v>
      </c>
      <c r="B95" s="16" t="s">
        <v>276</v>
      </c>
      <c r="C95" s="16" t="s">
        <v>277</v>
      </c>
      <c r="D95" s="35" t="s">
        <v>278</v>
      </c>
      <c r="E95" s="49" t="str">
        <f>IFERROR(E33/E73/E47,"")</f>
        <v/>
      </c>
      <c r="F95" s="49">
        <f>IFERROR(F33/F73/F47,"")</f>
        <v>4.2</v>
      </c>
      <c r="G95" s="49">
        <f>IFERROR(G33/G73/G47,"")</f>
        <v>4</v>
      </c>
      <c r="H95" s="49">
        <f>IFERROR(H33/H73/H47,"")</f>
        <v>4.45</v>
      </c>
      <c r="I95" s="49">
        <f>IFERROR(I33/I73/I47,"")</f>
        <v>4.45</v>
      </c>
      <c r="J95" s="44" t="s">
        <v>279</v>
      </c>
    </row>
    <row r="96" spans="1:10" ht="30" x14ac:dyDescent="0.25">
      <c r="A96" s="15" t="s">
        <v>280</v>
      </c>
      <c r="B96" s="16" t="s">
        <v>281</v>
      </c>
      <c r="C96" s="16" t="s">
        <v>282</v>
      </c>
      <c r="D96" s="35" t="s">
        <v>283</v>
      </c>
      <c r="E96" s="49" t="str">
        <f>IFERROR((E22+E23)/E31,"")</f>
        <v/>
      </c>
      <c r="F96" s="49">
        <f>IFERROR((F22+F23)/F31,"")</f>
        <v>0.10614016364283174</v>
      </c>
      <c r="G96" s="49">
        <f>IFERROR((G22+G23)/G31,"")</f>
        <v>0.10475124886256011</v>
      </c>
      <c r="H96" s="49">
        <f>IFERROR((H22+H23)/H31,"")</f>
        <v>0.11037315184229055</v>
      </c>
      <c r="I96" s="49" t="str">
        <f>IFERROR((I22+I23)/I31,"")</f>
        <v/>
      </c>
      <c r="J96" s="44" t="s">
        <v>282</v>
      </c>
    </row>
    <row r="97" spans="1:10" x14ac:dyDescent="0.25">
      <c r="A97" s="12" t="s">
        <v>284</v>
      </c>
      <c r="B97" s="13" t="s">
        <v>285</v>
      </c>
      <c r="C97" s="13"/>
      <c r="D97" s="14"/>
      <c r="E97" s="14"/>
      <c r="F97" s="14"/>
      <c r="G97" s="14"/>
      <c r="H97" s="14"/>
      <c r="I97" s="14"/>
      <c r="J97" s="14"/>
    </row>
    <row r="98" spans="1:10" ht="25.5" x14ac:dyDescent="0.25">
      <c r="A98" s="37"/>
      <c r="B98" s="38" t="s">
        <v>286</v>
      </c>
      <c r="C98" s="38"/>
      <c r="D98" s="39" t="s">
        <v>287</v>
      </c>
      <c r="E98" s="38"/>
      <c r="F98" s="38"/>
      <c r="G98" s="38"/>
      <c r="H98" s="38"/>
      <c r="I98" s="38"/>
      <c r="J98" s="39"/>
    </row>
    <row r="99" spans="1:10" x14ac:dyDescent="0.25">
      <c r="A99" s="15" t="s">
        <v>288</v>
      </c>
      <c r="B99" s="16" t="s">
        <v>289</v>
      </c>
      <c r="C99" s="16"/>
      <c r="D99" s="32"/>
      <c r="E99" s="40"/>
      <c r="F99" s="40"/>
      <c r="G99" s="40"/>
      <c r="H99" s="40"/>
      <c r="I99" s="40"/>
      <c r="J99" s="32"/>
    </row>
    <row r="100" spans="1:10" x14ac:dyDescent="0.25">
      <c r="A100" s="15" t="s">
        <v>290</v>
      </c>
      <c r="B100" s="29" t="s">
        <v>291</v>
      </c>
      <c r="C100" s="36" t="s">
        <v>292</v>
      </c>
      <c r="D100" s="32">
        <v>98</v>
      </c>
      <c r="E100" s="40"/>
      <c r="F100" s="40"/>
      <c r="G100" s="40"/>
      <c r="H100" s="40"/>
      <c r="I100" s="40"/>
      <c r="J100" s="32"/>
    </row>
    <row r="101" spans="1:10" x14ac:dyDescent="0.25">
      <c r="A101" s="15" t="s">
        <v>293</v>
      </c>
      <c r="B101" s="29" t="s">
        <v>294</v>
      </c>
      <c r="C101" s="36" t="s">
        <v>292</v>
      </c>
      <c r="D101" s="32">
        <v>110</v>
      </c>
      <c r="E101" s="40"/>
      <c r="F101" s="40"/>
      <c r="G101" s="40"/>
      <c r="H101" s="40"/>
      <c r="I101" s="40"/>
      <c r="J101" s="32"/>
    </row>
    <row r="102" spans="1:10" x14ac:dyDescent="0.25">
      <c r="A102" s="15" t="s">
        <v>295</v>
      </c>
      <c r="B102" s="16" t="s">
        <v>296</v>
      </c>
      <c r="C102" s="16"/>
      <c r="D102" s="32"/>
      <c r="E102" s="40"/>
      <c r="F102" s="40"/>
      <c r="G102" s="40"/>
      <c r="H102" s="40"/>
      <c r="I102" s="40"/>
      <c r="J102" s="32"/>
    </row>
    <row r="103" spans="1:10" x14ac:dyDescent="0.25">
      <c r="A103" s="15" t="s">
        <v>297</v>
      </c>
      <c r="B103" s="29" t="s">
        <v>298</v>
      </c>
      <c r="C103" s="36" t="s">
        <v>292</v>
      </c>
      <c r="D103" s="32">
        <v>120</v>
      </c>
      <c r="E103" s="40"/>
      <c r="F103" s="40"/>
      <c r="G103" s="40"/>
      <c r="H103" s="40"/>
      <c r="I103" s="40"/>
      <c r="J103" s="32"/>
    </row>
    <row r="104" spans="1:10" x14ac:dyDescent="0.25">
      <c r="A104" s="15" t="s">
        <v>299</v>
      </c>
      <c r="B104" s="29" t="s">
        <v>300</v>
      </c>
      <c r="C104" s="36" t="s">
        <v>292</v>
      </c>
      <c r="D104" s="32">
        <v>115</v>
      </c>
      <c r="E104" s="40"/>
      <c r="F104" s="40"/>
      <c r="G104" s="40"/>
      <c r="H104" s="40"/>
      <c r="I104" s="40"/>
      <c r="J104" s="32"/>
    </row>
    <row r="105" spans="1:10" x14ac:dyDescent="0.25">
      <c r="A105" s="15" t="s">
        <v>301</v>
      </c>
      <c r="B105" s="29" t="s">
        <v>302</v>
      </c>
      <c r="C105" s="36" t="s">
        <v>292</v>
      </c>
      <c r="D105" s="32">
        <v>105</v>
      </c>
      <c r="E105" s="40"/>
      <c r="F105" s="40"/>
      <c r="G105" s="40"/>
      <c r="H105" s="40"/>
      <c r="I105" s="40"/>
      <c r="J105" s="32"/>
    </row>
    <row r="106" spans="1:10" x14ac:dyDescent="0.25">
      <c r="A106" s="15" t="s">
        <v>303</v>
      </c>
      <c r="B106" s="16" t="s">
        <v>304</v>
      </c>
      <c r="C106" s="16"/>
      <c r="D106" s="32"/>
      <c r="E106" s="40"/>
      <c r="F106" s="40"/>
      <c r="G106" s="40"/>
      <c r="H106" s="40"/>
      <c r="I106" s="40"/>
      <c r="J106" s="32"/>
    </row>
    <row r="107" spans="1:10" x14ac:dyDescent="0.25">
      <c r="A107" s="15" t="s">
        <v>305</v>
      </c>
      <c r="B107" s="29" t="s">
        <v>306</v>
      </c>
      <c r="C107" s="36" t="s">
        <v>292</v>
      </c>
      <c r="D107" s="32">
        <v>240</v>
      </c>
      <c r="E107" s="40"/>
      <c r="F107" s="40"/>
      <c r="G107" s="40"/>
      <c r="H107" s="40"/>
      <c r="I107" s="40"/>
      <c r="J107" s="32"/>
    </row>
    <row r="108" spans="1:10" x14ac:dyDescent="0.25">
      <c r="A108" s="15" t="s">
        <v>307</v>
      </c>
      <c r="B108" s="29" t="s">
        <v>308</v>
      </c>
      <c r="C108" s="36" t="s">
        <v>292</v>
      </c>
      <c r="D108" s="32">
        <v>165</v>
      </c>
      <c r="E108" s="40"/>
      <c r="F108" s="40"/>
      <c r="G108" s="40"/>
      <c r="H108" s="40"/>
      <c r="I108" s="40"/>
      <c r="J108" s="32"/>
    </row>
    <row r="109" spans="1:10" x14ac:dyDescent="0.25">
      <c r="A109" s="15" t="s">
        <v>309</v>
      </c>
      <c r="B109" s="16" t="s">
        <v>310</v>
      </c>
      <c r="C109" s="16"/>
      <c r="D109" s="32"/>
      <c r="E109" s="40"/>
      <c r="F109" s="40"/>
      <c r="G109" s="40"/>
      <c r="H109" s="40"/>
      <c r="I109" s="40"/>
      <c r="J109" s="32"/>
    </row>
    <row r="110" spans="1:10" x14ac:dyDescent="0.25">
      <c r="A110" s="15" t="s">
        <v>311</v>
      </c>
      <c r="B110" s="29" t="s">
        <v>306</v>
      </c>
      <c r="C110" s="36" t="s">
        <v>292</v>
      </c>
      <c r="D110" s="32">
        <v>115</v>
      </c>
      <c r="E110" s="40"/>
      <c r="F110" s="40"/>
      <c r="G110" s="40"/>
      <c r="H110" s="40"/>
      <c r="I110" s="40"/>
      <c r="J110" s="32"/>
    </row>
    <row r="111" spans="1:10" x14ac:dyDescent="0.25">
      <c r="A111" s="15" t="s">
        <v>312</v>
      </c>
      <c r="B111" s="29" t="s">
        <v>308</v>
      </c>
      <c r="C111" s="36" t="s">
        <v>292</v>
      </c>
      <c r="D111" s="32">
        <v>90</v>
      </c>
      <c r="E111" s="40"/>
      <c r="F111" s="40"/>
      <c r="G111" s="40"/>
      <c r="H111" s="40"/>
      <c r="I111" s="40"/>
      <c r="J111" s="32"/>
    </row>
    <row r="112" spans="1:10" x14ac:dyDescent="0.25">
      <c r="A112" s="15" t="s">
        <v>313</v>
      </c>
      <c r="B112" s="16" t="s">
        <v>314</v>
      </c>
      <c r="C112" s="16"/>
      <c r="D112" s="32">
        <v>210</v>
      </c>
      <c r="E112" s="40"/>
      <c r="F112" s="40"/>
      <c r="G112" s="40"/>
      <c r="H112" s="40"/>
      <c r="I112" s="40"/>
      <c r="J112" s="32"/>
    </row>
    <row r="113" spans="1:10" x14ac:dyDescent="0.25">
      <c r="A113" s="15" t="s">
        <v>315</v>
      </c>
      <c r="B113" s="16" t="s">
        <v>316</v>
      </c>
      <c r="C113" s="36" t="s">
        <v>292</v>
      </c>
      <c r="D113" s="32" t="s">
        <v>317</v>
      </c>
      <c r="E113" s="40"/>
      <c r="F113" s="40"/>
      <c r="G113" s="40"/>
      <c r="H113" s="40"/>
      <c r="I113" s="40"/>
      <c r="J113" s="32"/>
    </row>
    <row r="114" spans="1:10" x14ac:dyDescent="0.25">
      <c r="B114" s="16"/>
      <c r="C114" s="16"/>
      <c r="D114" s="32"/>
      <c r="E114" s="40"/>
      <c r="F114" s="40"/>
      <c r="G114" s="40"/>
      <c r="H114" s="40"/>
      <c r="I114" s="40"/>
      <c r="J114" s="32"/>
    </row>
    <row r="115" spans="1:10" x14ac:dyDescent="0.25">
      <c r="A115" s="15" t="s">
        <v>318</v>
      </c>
      <c r="B115" s="16" t="s">
        <v>319</v>
      </c>
      <c r="C115" s="16"/>
      <c r="D115" s="32"/>
      <c r="E115" s="40"/>
      <c r="F115" s="40"/>
      <c r="G115" s="40"/>
      <c r="H115" s="40"/>
      <c r="I115" s="40"/>
      <c r="J115" s="32"/>
    </row>
    <row r="116" spans="1:10" x14ac:dyDescent="0.25">
      <c r="A116" s="15" t="s">
        <v>320</v>
      </c>
      <c r="B116" s="29" t="s">
        <v>321</v>
      </c>
      <c r="C116" s="36" t="s">
        <v>322</v>
      </c>
      <c r="D116" s="41">
        <v>1</v>
      </c>
      <c r="E116" s="40"/>
      <c r="F116" s="40"/>
      <c r="G116" s="40"/>
      <c r="H116" s="40"/>
      <c r="I116" s="40"/>
      <c r="J116" s="41"/>
    </row>
    <row r="117" spans="1:10" x14ac:dyDescent="0.25">
      <c r="A117" s="15" t="s">
        <v>323</v>
      </c>
      <c r="B117" s="29" t="s">
        <v>324</v>
      </c>
      <c r="C117" s="36" t="s">
        <v>325</v>
      </c>
      <c r="D117" s="32">
        <v>0.52</v>
      </c>
      <c r="E117" s="40"/>
      <c r="F117" s="40"/>
      <c r="G117" s="40"/>
      <c r="H117" s="40"/>
      <c r="I117" s="40"/>
      <c r="J117" s="32"/>
    </row>
    <row r="127" spans="1:10" x14ac:dyDescent="0.25">
      <c r="D127" s="42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</sheetData>
  <pageMargins left="0.25" right="0.25" top="0.75" bottom="0.75" header="0.3" footer="0.3"/>
  <pageSetup paperSize="8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70574BD1136B49B6B73026AAD3CEA5" ma:contentTypeVersion="15" ma:contentTypeDescription="Utwórz nowy dokument." ma:contentTypeScope="" ma:versionID="f9020ebdbe1f5a4210873662b05e134e">
  <xsd:schema xmlns:xsd="http://www.w3.org/2001/XMLSchema" xmlns:xs="http://www.w3.org/2001/XMLSchema" xmlns:p="http://schemas.microsoft.com/office/2006/metadata/properties" xmlns:ns2="14810638-6016-4bec-970a-4d421942f779" xmlns:ns3="ba720e84-6e0f-4bf4-b0ad-b9c032a5f9d1" targetNamespace="http://schemas.microsoft.com/office/2006/metadata/properties" ma:root="true" ma:fieldsID="7bc262d04dd102eaf6027efe37c5893d" ns2:_="" ns3:_="">
    <xsd:import namespace="14810638-6016-4bec-970a-4d421942f779"/>
    <xsd:import namespace="ba720e84-6e0f-4bf4-b0ad-b9c032a5f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10638-6016-4bec-970a-4d421942f7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67f2156-0816-42bb-af17-c0af4b63f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20e84-6e0f-4bf4-b0ad-b9c032a5f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10638-6016-4bec-970a-4d421942f77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7FEC5-7B12-4C5C-89A8-4123E1AA6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10638-6016-4bec-970a-4d421942f779"/>
    <ds:schemaRef ds:uri="ba720e84-6e0f-4bf4-b0ad-b9c032a5f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F310E5-F3E9-4DB7-87AF-6CA4DE592B78}">
  <ds:schemaRefs>
    <ds:schemaRef ds:uri="http://schemas.microsoft.com/office/2006/metadata/properties"/>
    <ds:schemaRef ds:uri="http://schemas.microsoft.com/office/infopath/2007/PartnerControls"/>
    <ds:schemaRef ds:uri="14810638-6016-4bec-970a-4d421942f779"/>
  </ds:schemaRefs>
</ds:datastoreItem>
</file>

<file path=customXml/itemProps3.xml><?xml version="1.0" encoding="utf-8"?>
<ds:datastoreItem xmlns:ds="http://schemas.openxmlformats.org/officeDocument/2006/customXml" ds:itemID="{14765528-15EC-4F59-B6F1-BD81D96BD4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Company>NEXITY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IWANCZYK Marek</dc:creator>
  <cp:lastModifiedBy>Agnieszka Zawistowska</cp:lastModifiedBy>
  <cp:lastPrinted>2021-11-05T15:10:09Z</cp:lastPrinted>
  <dcterms:created xsi:type="dcterms:W3CDTF">2019-03-18T08:47:00Z</dcterms:created>
  <dcterms:modified xsi:type="dcterms:W3CDTF">2026-08-20T07:47:44Z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1033-11.2.0.9669</vt:lpwstr>
  </property>
  <property fmtid="{D5CDD505-2E9C-101B-9397-08002B2CF9AE}" pid="3" name="ContentTypeId">
    <vt:lpwstr>0x0101005370574BD1136B49B6B73026AAD3CEA5</vt:lpwstr>
  </property>
</Properties>
</file>