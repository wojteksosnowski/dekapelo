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earchitekci.sharepoint.com/sites/pole/Shared Documents/84_SZE/02_AKTUALNY/05_PW/01_OPIS/02_POWIERZCHNIE/"/>
    </mc:Choice>
  </mc:AlternateContent>
  <xr:revisionPtr revIDLastSave="378" documentId="8_{1772C2F8-0970-489D-994D-8831EA1CFC1C}" xr6:coauthVersionLast="47" xr6:coauthVersionMax="47" xr10:uidLastSave="{0D26558A-B159-49B6-A35E-613CA1F9438D}"/>
  <bookViews>
    <workbookView xWindow="-120" yWindow="-120" windowWidth="29040" windowHeight="15840" xr2:uid="{00000000-000D-0000-FFFF-FFFF00000000}"/>
  </bookViews>
  <sheets>
    <sheet name="zestawienie (proj)" sheetId="1" r:id="rId1"/>
  </sheets>
  <definedNames>
    <definedName name="_xlnm.Print_Area" localSheetId="0">'zestawienie (proj)'!$A$1:$G$64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G60" i="1"/>
  <c r="G59" i="1"/>
  <c r="G58" i="1"/>
  <c r="G57" i="1"/>
  <c r="G56" i="1"/>
  <c r="G55" i="1"/>
  <c r="G53" i="1"/>
  <c r="G51" i="1"/>
  <c r="G44" i="1"/>
  <c r="G48" i="1"/>
  <c r="G46" i="1" s="1"/>
  <c r="G54" i="1" s="1"/>
  <c r="G52" i="1" l="1"/>
  <c r="G18" i="1"/>
  <c r="G13" i="1" l="1"/>
  <c r="G9" i="1"/>
  <c r="G11" i="1"/>
  <c r="G12" i="1"/>
  <c r="F12" i="1"/>
  <c r="G6" i="1"/>
  <c r="G5" i="1"/>
  <c r="F62" i="1"/>
  <c r="F60" i="1"/>
  <c r="F59" i="1"/>
  <c r="F58" i="1"/>
  <c r="F57" i="1"/>
  <c r="F56" i="1"/>
  <c r="F55" i="1"/>
  <c r="F54" i="1"/>
  <c r="F53" i="1"/>
  <c r="F52" i="1"/>
  <c r="F51" i="1"/>
  <c r="F45" i="1"/>
  <c r="F46" i="1"/>
  <c r="F44" i="1"/>
  <c r="F18" i="1"/>
  <c r="F13" i="1"/>
  <c r="F9" i="1"/>
  <c r="F11" i="1"/>
  <c r="E11" i="1"/>
  <c r="F6" i="1"/>
  <c r="F5" i="1"/>
  <c r="E12" i="1"/>
  <c r="E18" i="1"/>
  <c r="E9" i="1" l="1"/>
  <c r="E13" i="1" s="1"/>
  <c r="E62" i="1"/>
  <c r="E60" i="1"/>
  <c r="E59" i="1"/>
  <c r="E58" i="1"/>
  <c r="E57" i="1"/>
  <c r="E56" i="1"/>
  <c r="E55" i="1"/>
  <c r="E53" i="1"/>
  <c r="E52" i="1"/>
  <c r="E51" i="1"/>
  <c r="E45" i="1"/>
  <c r="E46" i="1"/>
  <c r="E54" i="1" s="1"/>
  <c r="E44" i="1"/>
  <c r="E21" i="1"/>
  <c r="E6" i="1"/>
  <c r="D13" i="1"/>
  <c r="D62" i="1"/>
  <c r="D60" i="1"/>
  <c r="D59" i="1"/>
  <c r="D58" i="1"/>
  <c r="D57" i="1"/>
  <c r="D56" i="1"/>
  <c r="D55" i="1"/>
  <c r="D54" i="1"/>
  <c r="D52" i="1"/>
  <c r="D51" i="1"/>
  <c r="D53" i="1"/>
  <c r="D15" i="1"/>
  <c r="D14" i="1"/>
  <c r="D48" i="1"/>
  <c r="D46" i="1"/>
  <c r="D44" i="1"/>
  <c r="D18" i="1"/>
</calcChain>
</file>

<file path=xl/sharedStrings.xml><?xml version="1.0" encoding="utf-8"?>
<sst xmlns="http://schemas.openxmlformats.org/spreadsheetml/2006/main" count="108" uniqueCount="103">
  <si>
    <t>Tabela parametrów i wskaźników inwestycji</t>
  </si>
  <si>
    <t>parametr</t>
  </si>
  <si>
    <t>opis</t>
  </si>
  <si>
    <t xml:space="preserve"> APK</t>
  </si>
  <si>
    <t>WPK</t>
  </si>
  <si>
    <t>projekt budowlany</t>
  </si>
  <si>
    <t xml:space="preserve">projekt wykonawczy </t>
  </si>
  <si>
    <t xml:space="preserve">powierzchnia działki </t>
  </si>
  <si>
    <t>im</t>
  </si>
  <si>
    <t>Pd</t>
  </si>
  <si>
    <t>współczynnik powierzchni zabudowy</t>
  </si>
  <si>
    <t>powierzchnia utwardzona (w tym)</t>
  </si>
  <si>
    <t>409,5m2</t>
  </si>
  <si>
    <t xml:space="preserve">     powierrzchnia chodników</t>
  </si>
  <si>
    <t>166,13m2</t>
  </si>
  <si>
    <t xml:space="preserve">     powierzchnia dróg</t>
  </si>
  <si>
    <t>243,37m2</t>
  </si>
  <si>
    <t>powierzchnia biologicznie czynna (w tym)</t>
  </si>
  <si>
    <t xml:space="preserve">     powierzchnia biologicznie czynna 100%</t>
  </si>
  <si>
    <t>37,85m2</t>
  </si>
  <si>
    <t xml:space="preserve">     powierzchnia biologicznie czynna na płycie garażu</t>
  </si>
  <si>
    <t>676,47x50%=338,23m2</t>
  </si>
  <si>
    <t xml:space="preserve">     dachy i tarasy zielone</t>
  </si>
  <si>
    <t>166x50%=83m2</t>
  </si>
  <si>
    <t>wskaźnik pow. biologicznie czynnej</t>
  </si>
  <si>
    <t>suma powierzchni użytkowej mieszkań i usług</t>
  </si>
  <si>
    <t>PUM+PUU</t>
  </si>
  <si>
    <t>suma lokali mieszkalnych i usługowych</t>
  </si>
  <si>
    <t>il.m. + il.u.</t>
  </si>
  <si>
    <t>ilość lokali mieszkalnych</t>
  </si>
  <si>
    <t>il.m.</t>
  </si>
  <si>
    <t>powierzchnia użytkowa lokali mieszkalnych</t>
  </si>
  <si>
    <t>Pum</t>
  </si>
  <si>
    <t>PUM</t>
  </si>
  <si>
    <t>średnia wielkość lokalu mieszkalnego</t>
  </si>
  <si>
    <t>śrm</t>
  </si>
  <si>
    <t>PUM/il.m.</t>
  </si>
  <si>
    <t>ilość lokali usługowych</t>
  </si>
  <si>
    <t>iu</t>
  </si>
  <si>
    <t>il.u.</t>
  </si>
  <si>
    <t>powierzchnia lokali usługowych</t>
  </si>
  <si>
    <t>Puu</t>
  </si>
  <si>
    <t>PUU</t>
  </si>
  <si>
    <t>powierzchnia części wspólnych</t>
  </si>
  <si>
    <t>imp</t>
  </si>
  <si>
    <t>580m2</t>
  </si>
  <si>
    <t>powierzchnia części wspólnych (bez powierzchni klatek schodowych, w tym podestów, spoczników, pionowych ciągów komunikacyjnych oraz szybów windowych)</t>
  </si>
  <si>
    <t>390m2</t>
  </si>
  <si>
    <t>suma miejsc parkingowych zewn. i miejsc postojowych w garażu</t>
  </si>
  <si>
    <t>impz+impg</t>
  </si>
  <si>
    <t xml:space="preserve">wymagana ilość miejsc parkingowych </t>
  </si>
  <si>
    <t>ilość miejsc parkingowych zewnętrznych w sprzedaży</t>
  </si>
  <si>
    <t>ilość miejsc parkingowych zewnętrznych (wszystkich)</t>
  </si>
  <si>
    <t>impz</t>
  </si>
  <si>
    <t xml:space="preserve">ilość miejsc postojowych w garażu </t>
  </si>
  <si>
    <t>impg</t>
  </si>
  <si>
    <t>w tym tzw. Miejsca rodzimme (zależne)</t>
  </si>
  <si>
    <t>powierzchnia miejsc postojowych w garażu</t>
  </si>
  <si>
    <t>930,5m2</t>
  </si>
  <si>
    <t>sumaryczna ilość komórek lokatorskich i boksów</t>
  </si>
  <si>
    <t>ik/b/g+ik</t>
  </si>
  <si>
    <t>ilość komórek lokatorskich/boksów w garażu (w tym):</t>
  </si>
  <si>
    <t>ik/b/g</t>
  </si>
  <si>
    <t xml:space="preserve">     ilość komórek lokatorskich tradycyjnych</t>
  </si>
  <si>
    <t xml:space="preserve">     ilość boksów na jednoślady</t>
  </si>
  <si>
    <t>powierzchnia komórek lokatorskich/boksów w garażu</t>
  </si>
  <si>
    <t>154,53m2</t>
  </si>
  <si>
    <t>powierzchnia wspólna hali garażowej (w tym również pomieszczenia techniczne)</t>
  </si>
  <si>
    <t>ilość komórek lokatorskich na kodygnacjach naziemnych</t>
  </si>
  <si>
    <t>ik</t>
  </si>
  <si>
    <t>ilość klatek schodowych</t>
  </si>
  <si>
    <t>iks</t>
  </si>
  <si>
    <t>wysokość budynku</t>
  </si>
  <si>
    <t>wysokość parteru netto</t>
  </si>
  <si>
    <t>wysokość kondygnacji nieszkalnych netto</t>
  </si>
  <si>
    <t>Ilość kondygnacji nadziemnych (bez garażu)</t>
  </si>
  <si>
    <t>Ilość kondygnacji podziemnych (garaż)</t>
  </si>
  <si>
    <t>Ilość wind</t>
  </si>
  <si>
    <t>iw</t>
  </si>
  <si>
    <t>powierzchnia całkowita (bez  balkonów i loggi)</t>
  </si>
  <si>
    <t xml:space="preserve">Pc </t>
  </si>
  <si>
    <t>powierzchnia całkowita balkonów i loggi</t>
  </si>
  <si>
    <t>powierzchnia całkowita (z uwzględnieniem balkonów i loggii)</t>
  </si>
  <si>
    <t>Pcb</t>
  </si>
  <si>
    <t>powierzchnia całkowita nadziemia (bez  balkonów i loggi)</t>
  </si>
  <si>
    <t>Pcn</t>
  </si>
  <si>
    <t>powierzchnia całkowita nadziemia (z uwzględnieniem balkonów i loggii)</t>
  </si>
  <si>
    <t>Pcnb</t>
  </si>
  <si>
    <t>powierzchnia całkowita części podziemnej (garażu)</t>
  </si>
  <si>
    <t>Pcg</t>
  </si>
  <si>
    <t>powierzchnia elewacji</t>
  </si>
  <si>
    <t>Pe</t>
  </si>
  <si>
    <t>wskaźnik (PUM + PUU) / Pcn</t>
  </si>
  <si>
    <t>wskaźnik (PUM + PUU) / Pcnb</t>
  </si>
  <si>
    <t>wskaźnik (PUM + PUU) / Pc</t>
  </si>
  <si>
    <t>wskaźnik (PUM + PUU) / Pcb</t>
  </si>
  <si>
    <t>wskaźnik Pcg / impg</t>
  </si>
  <si>
    <t>wskaźnik (PUM + PUU) / Pd</t>
  </si>
  <si>
    <t>wskaźnik (PUM + PUU) /klatkę schodową</t>
  </si>
  <si>
    <t>wskaźnik il.m./ iw</t>
  </si>
  <si>
    <t>wskaźnik Pc/Pcg</t>
  </si>
  <si>
    <t>wskaźnik ii.m./iks</t>
  </si>
  <si>
    <t>wskaźnik Pe/(PUM+PUU)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</si>
</sst>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7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4"/>
      <color rgb="FF00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6DCE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6DCE5"/>
      </patternFill>
    </fill>
    <fill>
      <patternFill patternType="solid">
        <fgColor rgb="FFD6DCE5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2" fontId="0" fillId="4" borderId="1" xfId="0" applyNumberForma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7"/>
  <sheetViews>
    <sheetView tabSelected="1" view="pageBreakPreview" topLeftCell="A23" zoomScale="90" zoomScaleNormal="100" zoomScaleSheetLayoutView="90" workbookViewId="0">
      <selection activeCell="G46" sqref="G46"/>
    </sheetView>
  </sheetViews>
  <sheetFormatPr defaultRowHeight="15"/>
  <cols>
    <col min="1" max="1" width="16.42578125" customWidth="1"/>
    <col min="2" max="2" width="51.85546875" style="2" customWidth="1"/>
    <col min="3" max="3" width="10.42578125" style="1" customWidth="1"/>
    <col min="4" max="4" width="21" style="1" customWidth="1"/>
    <col min="5" max="5" width="16.85546875" style="1" customWidth="1"/>
    <col min="6" max="7" width="16.85546875" customWidth="1"/>
  </cols>
  <sheetData>
    <row r="1" spans="1:7">
      <c r="B1"/>
      <c r="C1"/>
      <c r="D1"/>
      <c r="E1"/>
    </row>
    <row r="2" spans="1:7" ht="27" customHeight="1">
      <c r="A2" s="24" t="s">
        <v>0</v>
      </c>
      <c r="B2" s="24"/>
      <c r="C2" s="24"/>
      <c r="D2" s="24"/>
      <c r="E2" s="24"/>
      <c r="F2" s="24"/>
      <c r="G2" s="24"/>
    </row>
    <row r="3" spans="1:7" ht="43.35" customHeight="1">
      <c r="A3" s="25" t="s">
        <v>1</v>
      </c>
      <c r="B3" s="25"/>
      <c r="C3" s="15" t="s">
        <v>2</v>
      </c>
      <c r="D3" s="15" t="s">
        <v>3</v>
      </c>
      <c r="E3" s="15" t="s">
        <v>4</v>
      </c>
      <c r="F3" s="14" t="s">
        <v>5</v>
      </c>
      <c r="G3" s="14" t="s">
        <v>6</v>
      </c>
    </row>
    <row r="4" spans="1:7" ht="15" customHeight="1">
      <c r="A4" s="26" t="s">
        <v>7</v>
      </c>
      <c r="B4" s="26" t="s">
        <v>8</v>
      </c>
      <c r="C4" s="16" t="s">
        <v>9</v>
      </c>
      <c r="D4" s="15">
        <v>1836</v>
      </c>
      <c r="E4" s="15">
        <v>1836</v>
      </c>
      <c r="F4" s="14">
        <v>1836</v>
      </c>
      <c r="G4" s="14">
        <v>1836</v>
      </c>
    </row>
    <row r="5" spans="1:7" ht="15" customHeight="1">
      <c r="A5" s="26" t="s">
        <v>10</v>
      </c>
      <c r="B5" s="26"/>
      <c r="C5" s="16"/>
      <c r="D5" s="17">
        <v>0.32</v>
      </c>
      <c r="E5" s="17">
        <v>0.32</v>
      </c>
      <c r="F5" s="17">
        <f>588/F4</f>
        <v>0.3202614379084967</v>
      </c>
      <c r="G5" s="17">
        <f>590/G4</f>
        <v>0.3213507625272331</v>
      </c>
    </row>
    <row r="6" spans="1:7" ht="15" customHeight="1">
      <c r="A6" s="26" t="s">
        <v>11</v>
      </c>
      <c r="B6" s="26"/>
      <c r="C6" s="16"/>
      <c r="D6" s="16" t="s">
        <v>12</v>
      </c>
      <c r="E6" s="15">
        <f>SUM(E7:E8)</f>
        <v>409.67</v>
      </c>
      <c r="F6" s="15">
        <f>SUM(F7:F8)</f>
        <v>495.7</v>
      </c>
      <c r="G6" s="15">
        <f>SUM(G7:G8)</f>
        <v>495.4</v>
      </c>
    </row>
    <row r="7" spans="1:7" ht="15" customHeight="1">
      <c r="A7" s="27" t="s">
        <v>13</v>
      </c>
      <c r="B7" s="27"/>
      <c r="C7" s="16"/>
      <c r="D7" s="16" t="s">
        <v>14</v>
      </c>
      <c r="E7" s="16">
        <v>237.55</v>
      </c>
      <c r="F7" s="16">
        <v>323.5</v>
      </c>
      <c r="G7" s="16">
        <v>323.2</v>
      </c>
    </row>
    <row r="8" spans="1:7" ht="15" customHeight="1">
      <c r="A8" s="27" t="s">
        <v>15</v>
      </c>
      <c r="B8" s="27"/>
      <c r="C8" s="16"/>
      <c r="D8" s="16" t="s">
        <v>16</v>
      </c>
      <c r="E8" s="16">
        <v>172.12</v>
      </c>
      <c r="F8" s="16">
        <v>172.2</v>
      </c>
      <c r="G8" s="16">
        <v>172.2</v>
      </c>
    </row>
    <row r="9" spans="1:7" ht="15" customHeight="1">
      <c r="A9" s="26" t="s">
        <v>17</v>
      </c>
      <c r="B9" s="26"/>
      <c r="C9" s="16"/>
      <c r="D9" s="16">
        <v>459</v>
      </c>
      <c r="E9" s="21">
        <f>SUM(E10:E12)</f>
        <v>480.63499999999999</v>
      </c>
      <c r="F9" s="21">
        <f>SUM(F10:F12)</f>
        <v>470</v>
      </c>
      <c r="G9" s="21">
        <f>SUM(G10:G12)</f>
        <v>484</v>
      </c>
    </row>
    <row r="10" spans="1:7" ht="15" customHeight="1">
      <c r="A10" s="27" t="s">
        <v>18</v>
      </c>
      <c r="B10" s="27"/>
      <c r="C10" s="16"/>
      <c r="D10" s="16" t="s">
        <v>19</v>
      </c>
      <c r="E10" s="16">
        <v>27.26</v>
      </c>
      <c r="F10" s="16">
        <v>113</v>
      </c>
      <c r="G10" s="23">
        <v>103</v>
      </c>
    </row>
    <row r="11" spans="1:7" ht="15" customHeight="1">
      <c r="A11" s="27" t="s">
        <v>20</v>
      </c>
      <c r="B11" s="27"/>
      <c r="C11" s="16"/>
      <c r="D11" s="16" t="s">
        <v>21</v>
      </c>
      <c r="E11" s="16">
        <f>659*0.5</f>
        <v>329.5</v>
      </c>
      <c r="F11" s="16">
        <f>534*0.5</f>
        <v>267</v>
      </c>
      <c r="G11" s="16">
        <f>512*0.5</f>
        <v>256</v>
      </c>
    </row>
    <row r="12" spans="1:7" ht="15" customHeight="1">
      <c r="A12" s="27" t="s">
        <v>22</v>
      </c>
      <c r="B12" s="27"/>
      <c r="C12" s="16"/>
      <c r="D12" s="16" t="s">
        <v>23</v>
      </c>
      <c r="E12" s="16">
        <f>247.75*0.5</f>
        <v>123.875</v>
      </c>
      <c r="F12" s="16">
        <f>180*0.5</f>
        <v>90</v>
      </c>
      <c r="G12" s="16">
        <f>250*0.5</f>
        <v>125</v>
      </c>
    </row>
    <row r="13" spans="1:7" ht="15" customHeight="1">
      <c r="A13" s="26" t="s">
        <v>24</v>
      </c>
      <c r="B13" s="26"/>
      <c r="C13" s="16"/>
      <c r="D13" s="17">
        <f>D9/D4</f>
        <v>0.25</v>
      </c>
      <c r="E13" s="22">
        <f>E9/E4</f>
        <v>0.26178376906318085</v>
      </c>
      <c r="F13" s="22">
        <f>F9/F4</f>
        <v>0.25599128540305011</v>
      </c>
      <c r="G13" s="22">
        <f>G9/G4</f>
        <v>0.26361655773420478</v>
      </c>
    </row>
    <row r="14" spans="1:7" ht="15" customHeight="1">
      <c r="A14" s="28" t="s">
        <v>25</v>
      </c>
      <c r="B14" s="28"/>
      <c r="C14" s="10" t="s">
        <v>26</v>
      </c>
      <c r="D14" s="20">
        <f>SUM(D17,D20)</f>
        <v>2569.04</v>
      </c>
      <c r="E14" s="20">
        <v>2570.12</v>
      </c>
      <c r="F14" s="20">
        <v>2593.6799999999998</v>
      </c>
      <c r="G14" s="20">
        <v>2642.91</v>
      </c>
    </row>
    <row r="15" spans="1:7" ht="15" customHeight="1">
      <c r="A15" s="28" t="s">
        <v>27</v>
      </c>
      <c r="B15" s="28"/>
      <c r="C15" s="10" t="s">
        <v>28</v>
      </c>
      <c r="D15" s="10">
        <f>SUM(D16,D19)</f>
        <v>73</v>
      </c>
      <c r="E15" s="10">
        <v>73</v>
      </c>
      <c r="F15" s="10">
        <v>67</v>
      </c>
      <c r="G15" s="10">
        <v>67</v>
      </c>
    </row>
    <row r="16" spans="1:7" ht="15" customHeight="1">
      <c r="A16" s="27" t="s">
        <v>29</v>
      </c>
      <c r="B16" s="27" t="s">
        <v>8</v>
      </c>
      <c r="C16" s="11" t="s">
        <v>30</v>
      </c>
      <c r="D16" s="11">
        <v>73</v>
      </c>
      <c r="E16" s="11">
        <v>73</v>
      </c>
      <c r="F16" s="11">
        <v>67</v>
      </c>
      <c r="G16" s="11">
        <v>66</v>
      </c>
    </row>
    <row r="17" spans="1:7" ht="15" customHeight="1">
      <c r="A17" s="27" t="s">
        <v>31</v>
      </c>
      <c r="B17" s="27" t="s">
        <v>32</v>
      </c>
      <c r="C17" s="11" t="s">
        <v>33</v>
      </c>
      <c r="D17" s="19">
        <v>2569.04</v>
      </c>
      <c r="E17" s="19">
        <v>2570.12</v>
      </c>
      <c r="F17" s="19">
        <v>2593.6799999999998</v>
      </c>
      <c r="G17" s="19">
        <v>2642.91</v>
      </c>
    </row>
    <row r="18" spans="1:7" ht="15" customHeight="1">
      <c r="A18" s="29" t="s">
        <v>34</v>
      </c>
      <c r="B18" s="29" t="s">
        <v>35</v>
      </c>
      <c r="C18" s="10" t="s">
        <v>36</v>
      </c>
      <c r="D18" s="18">
        <f>D17/D16</f>
        <v>35.192328767123286</v>
      </c>
      <c r="E18" s="18">
        <f>E17/E16</f>
        <v>35.20712328767123</v>
      </c>
      <c r="F18" s="18">
        <f>F17/F16</f>
        <v>38.711641791044777</v>
      </c>
      <c r="G18" s="18">
        <f>G17/G16</f>
        <v>40.044090909090905</v>
      </c>
    </row>
    <row r="19" spans="1:7" ht="15" customHeight="1">
      <c r="A19" s="27" t="s">
        <v>37</v>
      </c>
      <c r="B19" s="27" t="s">
        <v>38</v>
      </c>
      <c r="C19" s="11" t="s">
        <v>39</v>
      </c>
      <c r="D19" s="11">
        <v>0</v>
      </c>
      <c r="E19" s="11">
        <v>0</v>
      </c>
      <c r="F19" s="11">
        <v>0</v>
      </c>
      <c r="G19" s="11">
        <v>0</v>
      </c>
    </row>
    <row r="20" spans="1:7" ht="15" customHeight="1">
      <c r="A20" s="27" t="s">
        <v>40</v>
      </c>
      <c r="B20" s="27" t="s">
        <v>41</v>
      </c>
      <c r="C20" s="11" t="s">
        <v>42</v>
      </c>
      <c r="D20" s="11">
        <v>0</v>
      </c>
      <c r="E20" s="11">
        <v>0</v>
      </c>
      <c r="F20" s="11">
        <v>0</v>
      </c>
      <c r="G20" s="11">
        <v>0</v>
      </c>
    </row>
    <row r="21" spans="1:7" ht="15" customHeight="1">
      <c r="A21" s="26" t="s">
        <v>43</v>
      </c>
      <c r="B21" s="26" t="s">
        <v>44</v>
      </c>
      <c r="C21" s="11"/>
      <c r="D21" s="11" t="s">
        <v>45</v>
      </c>
      <c r="E21" s="11">
        <f>E22+180.95</f>
        <v>552.34999999999991</v>
      </c>
      <c r="F21" s="11">
        <v>553</v>
      </c>
      <c r="G21" s="11">
        <v>497.24</v>
      </c>
    </row>
    <row r="22" spans="1:7" ht="45" customHeight="1">
      <c r="A22" s="27" t="s">
        <v>46</v>
      </c>
      <c r="B22" s="27" t="s">
        <v>44</v>
      </c>
      <c r="C22" s="11"/>
      <c r="D22" s="11" t="s">
        <v>47</v>
      </c>
      <c r="E22" s="11">
        <v>371.4</v>
      </c>
      <c r="F22" s="11">
        <v>274.89999999999998</v>
      </c>
      <c r="G22" s="11">
        <v>319.74</v>
      </c>
    </row>
    <row r="23" spans="1:7" ht="15" customHeight="1">
      <c r="A23" s="28" t="s">
        <v>48</v>
      </c>
      <c r="B23" s="28"/>
      <c r="C23" s="10" t="s">
        <v>49</v>
      </c>
      <c r="D23" s="10">
        <v>74</v>
      </c>
      <c r="E23" s="10">
        <v>75</v>
      </c>
      <c r="F23" s="10">
        <v>68</v>
      </c>
      <c r="G23" s="10">
        <v>68</v>
      </c>
    </row>
    <row r="24" spans="1:7" ht="15" customHeight="1">
      <c r="A24" s="26" t="s">
        <v>50</v>
      </c>
      <c r="B24" s="26"/>
      <c r="C24" s="11"/>
      <c r="D24" s="11">
        <v>74</v>
      </c>
      <c r="E24" s="11">
        <v>74</v>
      </c>
      <c r="F24" s="11">
        <v>68</v>
      </c>
      <c r="G24" s="10">
        <v>68</v>
      </c>
    </row>
    <row r="25" spans="1:7" ht="15" customHeight="1">
      <c r="A25" s="27" t="s">
        <v>51</v>
      </c>
      <c r="B25" s="27" t="s">
        <v>44</v>
      </c>
      <c r="C25" s="11"/>
      <c r="D25" s="11">
        <v>0</v>
      </c>
      <c r="E25" s="11">
        <v>0</v>
      </c>
      <c r="F25" s="11">
        <v>0</v>
      </c>
      <c r="G25" s="11">
        <v>0</v>
      </c>
    </row>
    <row r="26" spans="1:7" ht="15" customHeight="1">
      <c r="A26" s="27" t="s">
        <v>52</v>
      </c>
      <c r="B26" s="27" t="s">
        <v>44</v>
      </c>
      <c r="C26" s="11" t="s">
        <v>53</v>
      </c>
      <c r="D26" s="11">
        <v>0</v>
      </c>
      <c r="E26" s="11">
        <v>0</v>
      </c>
      <c r="F26" s="11">
        <v>0</v>
      </c>
      <c r="G26" s="11">
        <v>0</v>
      </c>
    </row>
    <row r="27" spans="1:7" ht="15" customHeight="1">
      <c r="A27" s="27" t="s">
        <v>54</v>
      </c>
      <c r="B27" s="27"/>
      <c r="C27" s="11" t="s">
        <v>55</v>
      </c>
      <c r="D27" s="11">
        <v>74</v>
      </c>
      <c r="E27" s="11">
        <v>75</v>
      </c>
      <c r="F27" s="11">
        <v>68</v>
      </c>
      <c r="G27" s="11">
        <v>68</v>
      </c>
    </row>
    <row r="28" spans="1:7" ht="15" customHeight="1">
      <c r="A28" s="27" t="s">
        <v>56</v>
      </c>
      <c r="B28" s="27"/>
      <c r="C28" s="11"/>
      <c r="D28" s="11">
        <v>0</v>
      </c>
      <c r="E28" s="11">
        <v>0</v>
      </c>
      <c r="F28" s="11">
        <v>0</v>
      </c>
      <c r="G28" s="11">
        <v>0</v>
      </c>
    </row>
    <row r="29" spans="1:7" ht="15" customHeight="1">
      <c r="A29" s="27" t="s">
        <v>57</v>
      </c>
      <c r="B29" s="27"/>
      <c r="C29" s="11"/>
      <c r="D29" s="11" t="s">
        <v>58</v>
      </c>
      <c r="E29" s="11">
        <v>943</v>
      </c>
      <c r="F29" s="11">
        <v>564</v>
      </c>
      <c r="G29" s="11">
        <v>610</v>
      </c>
    </row>
    <row r="30" spans="1:7" s="12" customFormat="1" ht="15" customHeight="1">
      <c r="A30" s="28" t="s">
        <v>59</v>
      </c>
      <c r="B30" s="28"/>
      <c r="C30" s="10" t="s">
        <v>60</v>
      </c>
      <c r="D30" s="13"/>
      <c r="E30" s="13"/>
      <c r="F30" s="13"/>
      <c r="G30" s="13"/>
    </row>
    <row r="31" spans="1:7" ht="15" customHeight="1">
      <c r="A31" s="27" t="s">
        <v>61</v>
      </c>
      <c r="B31" s="27"/>
      <c r="C31" s="11" t="s">
        <v>62</v>
      </c>
      <c r="D31" s="11">
        <v>39</v>
      </c>
      <c r="E31" s="11">
        <v>36</v>
      </c>
      <c r="F31" s="11">
        <v>4</v>
      </c>
      <c r="G31" s="11">
        <v>4</v>
      </c>
    </row>
    <row r="32" spans="1:7" ht="15" customHeight="1">
      <c r="A32" s="27" t="s">
        <v>63</v>
      </c>
      <c r="B32" s="27"/>
      <c r="C32" s="11"/>
      <c r="D32" s="11">
        <v>39</v>
      </c>
      <c r="E32" s="11">
        <v>36</v>
      </c>
      <c r="F32" s="11">
        <v>2</v>
      </c>
      <c r="G32" s="11">
        <v>2</v>
      </c>
    </row>
    <row r="33" spans="1:7" ht="15" customHeight="1">
      <c r="A33" s="27" t="s">
        <v>64</v>
      </c>
      <c r="B33" s="27"/>
      <c r="C33" s="11"/>
      <c r="D33" s="11">
        <v>0</v>
      </c>
      <c r="E33" s="11">
        <v>0</v>
      </c>
      <c r="F33" s="11">
        <v>2</v>
      </c>
      <c r="G33" s="11">
        <v>2</v>
      </c>
    </row>
    <row r="34" spans="1:7" ht="15" customHeight="1">
      <c r="A34" s="27" t="s">
        <v>65</v>
      </c>
      <c r="B34" s="27"/>
      <c r="C34" s="11"/>
      <c r="D34" s="11" t="s">
        <v>66</v>
      </c>
      <c r="E34" s="11">
        <v>141.13</v>
      </c>
      <c r="F34" s="11">
        <v>16</v>
      </c>
      <c r="G34" s="11">
        <v>20.5</v>
      </c>
    </row>
    <row r="35" spans="1:7" ht="15" customHeight="1">
      <c r="A35" s="27" t="s">
        <v>67</v>
      </c>
      <c r="B35" s="27"/>
      <c r="C35" s="11"/>
      <c r="D35" s="11">
        <v>2659</v>
      </c>
      <c r="E35" s="11">
        <v>2610</v>
      </c>
      <c r="F35" s="11">
        <v>1238</v>
      </c>
      <c r="G35" s="11">
        <v>1239</v>
      </c>
    </row>
    <row r="36" spans="1:7" ht="15" customHeight="1">
      <c r="A36" s="27" t="s">
        <v>68</v>
      </c>
      <c r="B36" s="27"/>
      <c r="C36" s="11" t="s">
        <v>69</v>
      </c>
      <c r="D36" s="11">
        <v>0</v>
      </c>
      <c r="E36" s="11">
        <v>0</v>
      </c>
      <c r="F36" s="11">
        <v>0</v>
      </c>
      <c r="G36" s="11">
        <v>0</v>
      </c>
    </row>
    <row r="37" spans="1:7" ht="15" customHeight="1">
      <c r="A37" s="26" t="s">
        <v>70</v>
      </c>
      <c r="B37" s="26"/>
      <c r="C37" s="11" t="s">
        <v>71</v>
      </c>
      <c r="D37" s="11">
        <v>1</v>
      </c>
      <c r="E37" s="11">
        <v>1</v>
      </c>
      <c r="F37" s="11">
        <v>1</v>
      </c>
      <c r="G37" s="11">
        <v>1</v>
      </c>
    </row>
    <row r="38" spans="1:7" ht="15" customHeight="1">
      <c r="A38" s="27" t="s">
        <v>72</v>
      </c>
      <c r="B38" s="27"/>
      <c r="C38" s="11"/>
      <c r="D38" s="11">
        <v>22</v>
      </c>
      <c r="E38" s="11">
        <v>22.55</v>
      </c>
      <c r="F38" s="11">
        <v>22.55</v>
      </c>
      <c r="G38" s="11">
        <v>22.33</v>
      </c>
    </row>
    <row r="39" spans="1:7" ht="15" customHeight="1">
      <c r="A39" s="27" t="s">
        <v>73</v>
      </c>
      <c r="B39" s="27"/>
      <c r="C39" s="11"/>
      <c r="D39" s="11">
        <v>270</v>
      </c>
      <c r="E39" s="11">
        <v>270</v>
      </c>
      <c r="F39" s="11">
        <v>270</v>
      </c>
      <c r="G39" s="11">
        <v>273</v>
      </c>
    </row>
    <row r="40" spans="1:7" ht="15" customHeight="1">
      <c r="A40" s="27" t="s">
        <v>74</v>
      </c>
      <c r="B40" s="27"/>
      <c r="C40" s="11"/>
      <c r="D40" s="11">
        <v>270</v>
      </c>
      <c r="E40" s="11">
        <v>270</v>
      </c>
      <c r="F40" s="11">
        <v>270</v>
      </c>
      <c r="G40" s="11">
        <v>273</v>
      </c>
    </row>
    <row r="41" spans="1:7" ht="15" customHeight="1">
      <c r="A41" s="27" t="s">
        <v>75</v>
      </c>
      <c r="B41" s="27"/>
      <c r="C41" s="11"/>
      <c r="D41" s="11">
        <v>7</v>
      </c>
      <c r="E41" s="11">
        <v>7</v>
      </c>
      <c r="F41" s="11">
        <v>7</v>
      </c>
      <c r="G41" s="11">
        <v>7</v>
      </c>
    </row>
    <row r="42" spans="1:7" ht="15" customHeight="1">
      <c r="A42" s="27" t="s">
        <v>76</v>
      </c>
      <c r="B42" s="27"/>
      <c r="C42" s="11"/>
      <c r="D42" s="11">
        <v>2</v>
      </c>
      <c r="E42" s="11">
        <v>2</v>
      </c>
      <c r="F42" s="11">
        <v>1</v>
      </c>
      <c r="G42" s="11">
        <v>1</v>
      </c>
    </row>
    <row r="43" spans="1:7" ht="15" customHeight="1">
      <c r="A43" s="27" t="s">
        <v>77</v>
      </c>
      <c r="B43" s="27"/>
      <c r="C43" s="11" t="s">
        <v>78</v>
      </c>
      <c r="D43" s="11">
        <v>1</v>
      </c>
      <c r="E43" s="11">
        <v>1</v>
      </c>
      <c r="F43" s="11">
        <v>1</v>
      </c>
      <c r="G43" s="11">
        <v>1</v>
      </c>
    </row>
    <row r="44" spans="1:7" ht="15" customHeight="1">
      <c r="A44" s="28" t="s">
        <v>79</v>
      </c>
      <c r="B44" s="28"/>
      <c r="C44" s="11" t="s">
        <v>80</v>
      </c>
      <c r="D44" s="11">
        <f>SUM(D47,D49)</f>
        <v>7108</v>
      </c>
      <c r="E44" s="11">
        <f>SUM(E47,E49)</f>
        <v>7049.5</v>
      </c>
      <c r="F44" s="11">
        <f>SUM(F47,F49)</f>
        <v>5341</v>
      </c>
      <c r="G44" s="11">
        <f>G47+G49</f>
        <v>5343</v>
      </c>
    </row>
    <row r="45" spans="1:7" ht="15" customHeight="1">
      <c r="A45" s="27" t="s">
        <v>81</v>
      </c>
      <c r="B45" s="27"/>
      <c r="C45" s="11"/>
      <c r="D45" s="11">
        <v>451</v>
      </c>
      <c r="E45" s="11">
        <f>E48-E47</f>
        <v>442.5</v>
      </c>
      <c r="F45" s="11">
        <f>F48-F47</f>
        <v>251</v>
      </c>
      <c r="G45" s="11">
        <v>243.05</v>
      </c>
    </row>
    <row r="46" spans="1:7" ht="15" customHeight="1">
      <c r="A46" s="28" t="s">
        <v>82</v>
      </c>
      <c r="B46" s="28"/>
      <c r="C46" s="11" t="s">
        <v>83</v>
      </c>
      <c r="D46" s="11">
        <f>SUM(D44:D45)</f>
        <v>7559</v>
      </c>
      <c r="E46" s="11">
        <f>E48+E49</f>
        <v>7492</v>
      </c>
      <c r="F46" s="11">
        <f>F48+F49</f>
        <v>5592</v>
      </c>
      <c r="G46" s="11">
        <f>G48+G49</f>
        <v>5586.05</v>
      </c>
    </row>
    <row r="47" spans="1:7" ht="15" customHeight="1">
      <c r="A47" s="28" t="s">
        <v>84</v>
      </c>
      <c r="B47" s="28"/>
      <c r="C47" s="11" t="s">
        <v>85</v>
      </c>
      <c r="D47" s="11">
        <v>3845</v>
      </c>
      <c r="E47" s="11">
        <v>3853.5</v>
      </c>
      <c r="F47" s="11">
        <v>3850</v>
      </c>
      <c r="G47" s="11">
        <v>3852</v>
      </c>
    </row>
    <row r="48" spans="1:7" ht="15" customHeight="1">
      <c r="A48" s="28" t="s">
        <v>86</v>
      </c>
      <c r="B48" s="28"/>
      <c r="C48" s="11" t="s">
        <v>87</v>
      </c>
      <c r="D48" s="11">
        <f>SUM(D47,D45)</f>
        <v>4296</v>
      </c>
      <c r="E48" s="11">
        <v>4296</v>
      </c>
      <c r="F48" s="11">
        <v>4101</v>
      </c>
      <c r="G48" s="11">
        <f>G47+G45</f>
        <v>4095.05</v>
      </c>
    </row>
    <row r="49" spans="1:7" ht="15" customHeight="1">
      <c r="A49" s="28" t="s">
        <v>88</v>
      </c>
      <c r="B49" s="28"/>
      <c r="C49" s="10" t="s">
        <v>89</v>
      </c>
      <c r="D49" s="10">
        <v>3263</v>
      </c>
      <c r="E49" s="10">
        <v>3196</v>
      </c>
      <c r="F49" s="10">
        <v>1491</v>
      </c>
      <c r="G49" s="10">
        <v>1491</v>
      </c>
    </row>
    <row r="50" spans="1:7" ht="15" customHeight="1">
      <c r="A50" s="27" t="s">
        <v>90</v>
      </c>
      <c r="B50" s="27"/>
      <c r="C50" s="11" t="s">
        <v>91</v>
      </c>
      <c r="D50" s="11">
        <v>3303</v>
      </c>
      <c r="E50" s="11">
        <v>3303</v>
      </c>
      <c r="F50" s="11">
        <v>3303</v>
      </c>
      <c r="G50" s="11">
        <v>3303</v>
      </c>
    </row>
    <row r="51" spans="1:7" ht="15" customHeight="1">
      <c r="A51" s="28" t="s">
        <v>92</v>
      </c>
      <c r="B51" s="28"/>
      <c r="C51" s="10"/>
      <c r="D51" s="18">
        <f>D14/D47</f>
        <v>0.66815084525357604</v>
      </c>
      <c r="E51" s="18">
        <f>E14/E47</f>
        <v>0.66695731153496818</v>
      </c>
      <c r="F51" s="18">
        <f>F14/F47</f>
        <v>0.67368311688311688</v>
      </c>
      <c r="G51" s="18">
        <f>G14/G47</f>
        <v>0.686113707165109</v>
      </c>
    </row>
    <row r="52" spans="1:7" ht="15" customHeight="1">
      <c r="A52" s="28" t="s">
        <v>93</v>
      </c>
      <c r="B52" s="28"/>
      <c r="C52" s="10"/>
      <c r="D52" s="18">
        <f>D14/D48</f>
        <v>0.59800744878957168</v>
      </c>
      <c r="E52" s="18">
        <f>E14/E48</f>
        <v>0.59825884543761632</v>
      </c>
      <c r="F52" s="18">
        <f>F14/F48</f>
        <v>0.63245062179956102</v>
      </c>
      <c r="G52" s="18">
        <f>G14/G48</f>
        <v>0.64539138716254985</v>
      </c>
    </row>
    <row r="53" spans="1:7" ht="15" customHeight="1">
      <c r="A53" s="28" t="s">
        <v>94</v>
      </c>
      <c r="B53" s="28"/>
      <c r="C53" s="10"/>
      <c r="D53" s="18">
        <f>D14/D44</f>
        <v>0.36142937535171638</v>
      </c>
      <c r="E53" s="18">
        <f>E14/E44</f>
        <v>0.36458188524008794</v>
      </c>
      <c r="F53" s="18">
        <f>F14/F44</f>
        <v>0.48561692566935027</v>
      </c>
      <c r="G53" s="18">
        <f>G14/G44</f>
        <v>0.49464907355418303</v>
      </c>
    </row>
    <row r="54" spans="1:7" ht="15" customHeight="1">
      <c r="A54" s="28" t="s">
        <v>95</v>
      </c>
      <c r="B54" s="28"/>
      <c r="C54" s="10"/>
      <c r="D54" s="18">
        <f>D14/D46</f>
        <v>0.33986506151607354</v>
      </c>
      <c r="E54" s="18">
        <f>E14/E46</f>
        <v>0.34304858515750131</v>
      </c>
      <c r="F54" s="18">
        <f>F14/F46</f>
        <v>0.46381974248927038</v>
      </c>
      <c r="G54" s="18">
        <f>G14/G46</f>
        <v>0.47312680695661508</v>
      </c>
    </row>
    <row r="55" spans="1:7" ht="15" customHeight="1">
      <c r="A55" s="28" t="s">
        <v>96</v>
      </c>
      <c r="B55" s="28"/>
      <c r="C55" s="10"/>
      <c r="D55" s="18">
        <f>D49/D27</f>
        <v>44.094594594594597</v>
      </c>
      <c r="E55" s="18">
        <f>E49/E27</f>
        <v>42.613333333333337</v>
      </c>
      <c r="F55" s="18">
        <f>F49/F27</f>
        <v>21.926470588235293</v>
      </c>
      <c r="G55" s="18">
        <f>G49/G27</f>
        <v>21.926470588235293</v>
      </c>
    </row>
    <row r="56" spans="1:7" ht="15" customHeight="1">
      <c r="A56" s="28" t="s">
        <v>97</v>
      </c>
      <c r="B56" s="28"/>
      <c r="C56" s="10"/>
      <c r="D56" s="18">
        <f>D14/D4</f>
        <v>1.3992592592592592</v>
      </c>
      <c r="E56" s="18">
        <f>E14/E4</f>
        <v>1.3998474945533768</v>
      </c>
      <c r="F56" s="18">
        <f>F14/F4</f>
        <v>1.4126797385620915</v>
      </c>
      <c r="G56" s="18">
        <f>G14/G4</f>
        <v>1.4394934640522874</v>
      </c>
    </row>
    <row r="57" spans="1:7" ht="15" customHeight="1">
      <c r="A57" s="28" t="s">
        <v>98</v>
      </c>
      <c r="B57" s="28"/>
      <c r="C57" s="10"/>
      <c r="D57" s="10">
        <f>D14/D37</f>
        <v>2569.04</v>
      </c>
      <c r="E57" s="10">
        <f>E14/E37</f>
        <v>2570.12</v>
      </c>
      <c r="F57" s="10">
        <f>F14/F37</f>
        <v>2593.6799999999998</v>
      </c>
      <c r="G57" s="10">
        <f>G14/G37</f>
        <v>2642.91</v>
      </c>
    </row>
    <row r="58" spans="1:7" ht="15" customHeight="1">
      <c r="A58" s="28" t="s">
        <v>96</v>
      </c>
      <c r="B58" s="28"/>
      <c r="C58" s="10"/>
      <c r="D58" s="18">
        <f>D49/D27</f>
        <v>44.094594594594597</v>
      </c>
      <c r="E58" s="18">
        <f>E49/E27</f>
        <v>42.613333333333337</v>
      </c>
      <c r="F58" s="18">
        <f>F49/F27</f>
        <v>21.926470588235293</v>
      </c>
      <c r="G58" s="18">
        <f>G49/G27</f>
        <v>21.926470588235293</v>
      </c>
    </row>
    <row r="59" spans="1:7" ht="15" customHeight="1">
      <c r="A59" s="28" t="s">
        <v>99</v>
      </c>
      <c r="B59" s="28"/>
      <c r="C59" s="10"/>
      <c r="D59" s="10">
        <f>D16/D43</f>
        <v>73</v>
      </c>
      <c r="E59" s="10">
        <f>E16/E43</f>
        <v>73</v>
      </c>
      <c r="F59" s="10">
        <f>F16/F43</f>
        <v>67</v>
      </c>
      <c r="G59" s="10">
        <f>G16/G43</f>
        <v>66</v>
      </c>
    </row>
    <row r="60" spans="1:7" ht="15" customHeight="1">
      <c r="A60" s="28" t="s">
        <v>100</v>
      </c>
      <c r="B60" s="28"/>
      <c r="C60" s="10"/>
      <c r="D60" s="18">
        <f>D44/D49</f>
        <v>2.1783634692001228</v>
      </c>
      <c r="E60" s="18">
        <f>E44/E49</f>
        <v>2.2057259073842301</v>
      </c>
      <c r="F60" s="18">
        <f>F44/F49</f>
        <v>3.5821596244131455</v>
      </c>
      <c r="G60" s="18">
        <f>G44/G49</f>
        <v>3.5835010060362174</v>
      </c>
    </row>
    <row r="61" spans="1:7" ht="15" customHeight="1">
      <c r="A61" s="28" t="s">
        <v>101</v>
      </c>
      <c r="B61" s="28"/>
      <c r="C61" s="10"/>
      <c r="D61" s="10"/>
      <c r="E61" s="10"/>
      <c r="F61" s="9"/>
      <c r="G61" s="9"/>
    </row>
    <row r="62" spans="1:7" ht="15" customHeight="1">
      <c r="A62" s="30" t="s">
        <v>102</v>
      </c>
      <c r="B62" s="31"/>
      <c r="C62" s="10"/>
      <c r="D62" s="18">
        <f>D50/D14</f>
        <v>1.2856942671192353</v>
      </c>
      <c r="E62" s="18">
        <f>E50/E14</f>
        <v>1.2851540005914122</v>
      </c>
      <c r="F62" s="18">
        <f>F50/F14</f>
        <v>1.2734801517534933</v>
      </c>
      <c r="G62" s="18">
        <f>G50/G14</f>
        <v>1.2497587886080117</v>
      </c>
    </row>
    <row r="63" spans="1:7" ht="15" customHeight="1">
      <c r="A63" s="32"/>
      <c r="B63" s="32"/>
      <c r="C63" s="10"/>
      <c r="D63" s="10"/>
      <c r="E63" s="10"/>
      <c r="F63" s="9"/>
      <c r="G63" s="9"/>
    </row>
    <row r="64" spans="1:7" s="3" customFormat="1">
      <c r="B64" s="8"/>
      <c r="C64" s="7"/>
      <c r="D64" s="7"/>
      <c r="E64" s="7"/>
    </row>
    <row r="65" spans="1:7">
      <c r="A65" s="3"/>
      <c r="B65" s="6"/>
      <c r="C65" s="5"/>
      <c r="D65" s="5"/>
      <c r="E65" s="5"/>
      <c r="F65" s="4"/>
      <c r="G65" s="4"/>
    </row>
    <row r="66" spans="1:7">
      <c r="A66" s="3"/>
    </row>
    <row r="67" spans="1:7">
      <c r="A67" s="3"/>
    </row>
  </sheetData>
  <mergeCells count="62">
    <mergeCell ref="A63:B63"/>
    <mergeCell ref="A56:B56"/>
    <mergeCell ref="A57:B57"/>
    <mergeCell ref="A58:B58"/>
    <mergeCell ref="A59:B59"/>
    <mergeCell ref="A60:B60"/>
    <mergeCell ref="A61:B61"/>
    <mergeCell ref="A52:B52"/>
    <mergeCell ref="A53:B53"/>
    <mergeCell ref="A54:B54"/>
    <mergeCell ref="A55:B55"/>
    <mergeCell ref="A62:B62"/>
    <mergeCell ref="A47:B47"/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2:G2"/>
    <mergeCell ref="A3:B3"/>
    <mergeCell ref="A4:B4"/>
    <mergeCell ref="A5:B5"/>
    <mergeCell ref="A6:B6"/>
  </mergeCells>
  <pageMargins left="0.7" right="0.7" top="0.75" bottom="0.75" header="0.3" footer="0.3"/>
  <pageSetup paperSize="9" scale="58" orientation="portrait" r:id="rId1"/>
  <colBreaks count="1" manualBreakCount="1">
    <brk id="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069fbe-c9af-428c-9e3c-d81ddf14b6fe" xsi:nil="true"/>
    <lcf76f155ced4ddcb4097134ff3c332f xmlns="805dbcf6-2193-4461-a3be-55b1c9f9fb1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2CED5636334D54C8FCECA65F43C29D6" ma:contentTypeVersion="19" ma:contentTypeDescription="Utwórz nowy dokument." ma:contentTypeScope="" ma:versionID="e5b5c2fe923c450280ab6087d9732beb">
  <xsd:schema xmlns:xsd="http://www.w3.org/2001/XMLSchema" xmlns:xs="http://www.w3.org/2001/XMLSchema" xmlns:p="http://schemas.microsoft.com/office/2006/metadata/properties" xmlns:ns2="805dbcf6-2193-4461-a3be-55b1c9f9fb1c" xmlns:ns3="0f069fbe-c9af-428c-9e3c-d81ddf14b6fe" targetNamespace="http://schemas.microsoft.com/office/2006/metadata/properties" ma:root="true" ma:fieldsID="4ac41be8aeb70622ab47ceff09cfdd0e" ns2:_="" ns3:_="">
    <xsd:import namespace="805dbcf6-2193-4461-a3be-55b1c9f9fb1c"/>
    <xsd:import namespace="0f069fbe-c9af-428c-9e3c-d81ddf14b6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dbcf6-2193-4461-a3be-55b1c9f9fb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i obrazów" ma:readOnly="false" ma:fieldId="{5cf76f15-5ced-4ddc-b409-7134ff3c332f}" ma:taxonomyMulti="true" ma:sspId="a02182c1-9af0-4e9c-b9e8-cddab0ee46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69fbe-c9af-428c-9e3c-d81ddf14b6f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Udostępnianie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Udostępnione dla — szczegóły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3087458-c790-4df3-b002-1867392182d1}" ma:internalName="TaxCatchAll" ma:showField="CatchAllData" ma:web="0f069fbe-c9af-428c-9e3c-d81ddf14b6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4AC30A-A1B5-410A-BC42-6A15E4E527E5}"/>
</file>

<file path=customXml/itemProps2.xml><?xml version="1.0" encoding="utf-8"?>
<ds:datastoreItem xmlns:ds="http://schemas.openxmlformats.org/officeDocument/2006/customXml" ds:itemID="{088B9642-7136-44B2-BE09-3D4F51F2C385}"/>
</file>

<file path=customXml/itemProps3.xml><?xml version="1.0" encoding="utf-8"?>
<ds:datastoreItem xmlns:ds="http://schemas.openxmlformats.org/officeDocument/2006/customXml" ds:itemID="{672FD5B2-069D-4FAA-A85B-6459AD1FAB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Dorota Wnorowska</dc:creator>
  <cp:keywords/>
  <dc:description/>
  <cp:lastModifiedBy>Bronisław Borowski</cp:lastModifiedBy>
  <cp:revision/>
  <dcterms:created xsi:type="dcterms:W3CDTF">2022-09-09T11:27:41Z</dcterms:created>
  <dcterms:modified xsi:type="dcterms:W3CDTF">2026-08-20T08:04:13Z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0x01010002CED5636334D54C8FCECA65F43C29D6</vt:lpwstr>
  </property>
  <property fmtid="{D5CDD505-2E9C-101B-9397-08002B2CF9AE}" pid="3" name="MediaServiceImageTags">
    <vt:lpwstr/>
  </property>
</Properties>
</file>