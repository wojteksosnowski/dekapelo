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eveliapl-my.sharepoint.com/personal/bborowski_develia_pl/Documents/01_PROJEKTY/ZAUŁEK/"/>
    </mc:Choice>
  </mc:AlternateContent>
  <xr:revisionPtr revIDLastSave="117" documentId="8_{A141A248-94CB-45C0-8999-AD7C57EBF1C3}" xr6:coauthVersionLast="47" xr6:coauthVersionMax="47" xr10:uidLastSave="{B67C652C-A713-4469-9823-B6A3162B529F}"/>
  <bookViews>
    <workbookView xWindow="-120" yWindow="-16320" windowWidth="29040" windowHeight="15720" xr2:uid="{00000000-000D-0000-FFFF-FFFF00000000}"/>
  </bookViews>
  <sheets>
    <sheet name="zestawienie (proj)" sheetId="1" r:id="rId1"/>
  </sheets>
  <definedNames>
    <definedName name="_xlnm.Print_Area" localSheetId="0">'zestawienie (proj)'!$A$1:$F$67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55" i="1"/>
  <c r="D44" i="1"/>
  <c r="D14" i="1"/>
  <c r="D52" i="1" s="1"/>
  <c r="D5" i="1"/>
  <c r="D53" i="1" l="1"/>
  <c r="D18" i="1"/>
  <c r="D15" i="1"/>
</calcChain>
</file>

<file path=xl/sharedStrings.xml><?xml version="1.0" encoding="utf-8"?>
<sst xmlns="http://schemas.openxmlformats.org/spreadsheetml/2006/main" count="97" uniqueCount="92">
  <si>
    <t>Tabela parametrów inwestycji</t>
  </si>
  <si>
    <t>parametr</t>
  </si>
  <si>
    <t>opis</t>
  </si>
  <si>
    <t>projekt budowlany</t>
  </si>
  <si>
    <t>projekt wykonawczy (sprzedaż)</t>
  </si>
  <si>
    <t xml:space="preserve">powierzchnia działki </t>
  </si>
  <si>
    <t>im</t>
  </si>
  <si>
    <t>Pd</t>
  </si>
  <si>
    <t>współczynnik powierzchni zabudowy</t>
  </si>
  <si>
    <t>powierzchnia utwardzona (w tym)</t>
  </si>
  <si>
    <t xml:space="preserve">     powierrzchnia chodników</t>
  </si>
  <si>
    <t xml:space="preserve">     powierzchnia dróg</t>
  </si>
  <si>
    <t>powierzchnia biologicznie czynna (w tym)</t>
  </si>
  <si>
    <t xml:space="preserve">     powierzchnia biologicznie czynna 100%</t>
  </si>
  <si>
    <t xml:space="preserve">     powierzchnia biologicznie czynna na płycie garażu</t>
  </si>
  <si>
    <t xml:space="preserve">     dachy i tarasy zielone</t>
  </si>
  <si>
    <t>wskaźnik pow. biologicznie czynnej</t>
  </si>
  <si>
    <t>suma powierzchni użytkowej mieszkań i usług</t>
  </si>
  <si>
    <t>PUM+PUU</t>
  </si>
  <si>
    <t>suma lokali mieszkalnych i usługowych</t>
  </si>
  <si>
    <t>il.m. + il.u.</t>
  </si>
  <si>
    <t>ilość lokali mieszkalnych</t>
  </si>
  <si>
    <t>il.m.</t>
  </si>
  <si>
    <t>powierzchnia użytkowa lokali mieszkalnych</t>
  </si>
  <si>
    <t>Pum</t>
  </si>
  <si>
    <t>PUM</t>
  </si>
  <si>
    <t>średnia wielkość lokalu mieszkalnego</t>
  </si>
  <si>
    <t>śrm</t>
  </si>
  <si>
    <t>PUM/il.m.</t>
  </si>
  <si>
    <t>ilość lokali usługowych</t>
  </si>
  <si>
    <t>iu</t>
  </si>
  <si>
    <t>il.u.</t>
  </si>
  <si>
    <t>powierzchnia lokali usługowych</t>
  </si>
  <si>
    <t>Puu</t>
  </si>
  <si>
    <t>PUU</t>
  </si>
  <si>
    <t>powierzchnia części wspólnych</t>
  </si>
  <si>
    <t>imp</t>
  </si>
  <si>
    <t>powierzchnia części wspólnych (bez powierzchni klatek schodowych, w tym podestów, spoczników, pionowych ciągów komunikacyjnych oraz szybów windowych)</t>
  </si>
  <si>
    <t>suma miejsc parkingowych zewn. i miejsc postojowych w garażu</t>
  </si>
  <si>
    <t>impz+impg</t>
  </si>
  <si>
    <t xml:space="preserve">wymagana ilość miejsc parkingowych </t>
  </si>
  <si>
    <t>ilość miejsc parkingowych zewnętrznych w sprzedaży</t>
  </si>
  <si>
    <t>ilość miejsc parkingowych zewnętrznych (wszystkich)</t>
  </si>
  <si>
    <t>impz</t>
  </si>
  <si>
    <t xml:space="preserve">ilość miejsc postojowych w garażu </t>
  </si>
  <si>
    <t>impg</t>
  </si>
  <si>
    <t>w tym tzw. Miejsca rodzimme (zależne)</t>
  </si>
  <si>
    <t>powierzchnia miejsc postojowych w garażu</t>
  </si>
  <si>
    <t>sumaryczna ilość komórek lokatorskich i boksów</t>
  </si>
  <si>
    <t>ik/b/g+ik</t>
  </si>
  <si>
    <t>ilość komórek lokatorskich/boksów w garażu (w tym):</t>
  </si>
  <si>
    <t>ik/b/g</t>
  </si>
  <si>
    <t xml:space="preserve">     ilość komórek lokatorskich tradycyjnych</t>
  </si>
  <si>
    <t xml:space="preserve">     ilość boksów na jednoślady</t>
  </si>
  <si>
    <t>powierzchnia komórek lokatorskich/boksów w garażu</t>
  </si>
  <si>
    <t>powierzchnia wspólna hali garażowej (w tym również pomieszczenia techniczne)</t>
  </si>
  <si>
    <t>ilość komórek lokatorskich na kodygnacjach naziemnych</t>
  </si>
  <si>
    <t>ik</t>
  </si>
  <si>
    <t>ilość klatek schodowych</t>
  </si>
  <si>
    <t>iks</t>
  </si>
  <si>
    <t>wysokość budynku</t>
  </si>
  <si>
    <t>wysokość parteru netto</t>
  </si>
  <si>
    <t>wysokość kondygnacji nieszkalnych netto</t>
  </si>
  <si>
    <t>Ilość kondygnacji nadziemnych (bez garażu)</t>
  </si>
  <si>
    <t>Ilość kondygnacji podziemnych (garaż)</t>
  </si>
  <si>
    <t>Ilość wind</t>
  </si>
  <si>
    <t>iw</t>
  </si>
  <si>
    <t>powierzchnia całkowita (bez  balkonów i loggi)</t>
  </si>
  <si>
    <t xml:space="preserve">Pc </t>
  </si>
  <si>
    <t>powierzchnia całkowita balkonów i loggi</t>
  </si>
  <si>
    <t>powierzchnia całkowita (z uwzględnieniem balkonów i loggii)</t>
  </si>
  <si>
    <t>Pcb</t>
  </si>
  <si>
    <t>powierzchnia całkowita nadziemia (bez  balkonów i loggi)</t>
  </si>
  <si>
    <t>Pcn</t>
  </si>
  <si>
    <t>powierzchnia całkowita nadziemia (z uwzględnieniem balkonów i loggii)</t>
  </si>
  <si>
    <t>Pcnb</t>
  </si>
  <si>
    <t>powierzchnia całkowita części podziemnej (garażu)</t>
  </si>
  <si>
    <t>Pcg</t>
  </si>
  <si>
    <t>powierzchnia elewacji</t>
  </si>
  <si>
    <t>Pe</t>
  </si>
  <si>
    <t>wskaźnik (PUM) / Pcn</t>
  </si>
  <si>
    <t>wskaźnik (PUM + PUU) / Pcnb</t>
  </si>
  <si>
    <t>wskaźnik (PUM) / Pc</t>
  </si>
  <si>
    <t>wskaźnik (PUM + PUU) / Pcb</t>
  </si>
  <si>
    <t>wskaźnik Pcg / impg</t>
  </si>
  <si>
    <t>wskaźnik (PUM) / Pd</t>
  </si>
  <si>
    <t>wskaźnik (PUM + PUU) /klatkę schodową</t>
  </si>
  <si>
    <t>wskaźnik il.m./ iw</t>
  </si>
  <si>
    <t>wskaźnik Pc/Pcg</t>
  </si>
  <si>
    <t>wskaźnik ii.m./iks</t>
  </si>
  <si>
    <t>wskaźnik Pe/(PUM+PUU)</t>
  </si>
  <si>
    <t>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</si>
</sst>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z val="11"/>
      <color rgb="FFFF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6DCE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6DCE5"/>
      </patternFill>
    </fill>
    <fill>
      <patternFill patternType="solid">
        <fgColor rgb="FFD6DCE5"/>
        <bgColor rgb="FFD9D9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2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/>
    <xf numFmtId="2" fontId="0" fillId="4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7"/>
  <sheetViews>
    <sheetView tabSelected="1" view="pageBreakPreview" topLeftCell="A6" zoomScaleNormal="100" zoomScaleSheetLayoutView="100" workbookViewId="0">
      <selection activeCell="D24" sqref="D24"/>
    </sheetView>
  </sheetViews>
  <sheetFormatPr defaultRowHeight="14.4" x14ac:dyDescent="0.3"/>
  <cols>
    <col min="1" max="1" width="16.44140625" customWidth="1"/>
    <col min="2" max="2" width="51.6640625" style="2" customWidth="1"/>
    <col min="3" max="3" width="10.33203125" style="1" customWidth="1"/>
    <col min="4" max="4" width="17.5546875" style="1" customWidth="1"/>
    <col min="5" max="6" width="16.6640625" hidden="1" customWidth="1"/>
  </cols>
  <sheetData>
    <row r="1" spans="1:6" x14ac:dyDescent="0.3">
      <c r="B1"/>
      <c r="C1"/>
      <c r="D1"/>
    </row>
    <row r="2" spans="1:6" ht="27" customHeight="1" x14ac:dyDescent="0.3">
      <c r="A2" s="39" t="s">
        <v>0</v>
      </c>
      <c r="B2" s="39"/>
      <c r="C2" s="39"/>
      <c r="D2" s="39"/>
      <c r="E2" s="39"/>
      <c r="F2" s="39"/>
    </row>
    <row r="3" spans="1:6" ht="43.2" customHeight="1" x14ac:dyDescent="0.3">
      <c r="A3" s="40" t="s">
        <v>1</v>
      </c>
      <c r="B3" s="40"/>
      <c r="C3" s="19" t="s">
        <v>2</v>
      </c>
      <c r="D3" s="19" t="s">
        <v>91</v>
      </c>
      <c r="E3" s="18" t="s">
        <v>3</v>
      </c>
      <c r="F3" s="18" t="s">
        <v>4</v>
      </c>
    </row>
    <row r="4" spans="1:6" ht="15" customHeight="1" x14ac:dyDescent="0.3">
      <c r="A4" s="37" t="s">
        <v>5</v>
      </c>
      <c r="B4" s="37" t="s">
        <v>6</v>
      </c>
      <c r="C4" s="20" t="s">
        <v>7</v>
      </c>
      <c r="D4" s="20">
        <v>7388.87</v>
      </c>
      <c r="E4" s="18"/>
      <c r="F4" s="18"/>
    </row>
    <row r="5" spans="1:6" ht="15" customHeight="1" x14ac:dyDescent="0.3">
      <c r="A5" s="37" t="s">
        <v>8</v>
      </c>
      <c r="B5" s="37"/>
      <c r="C5" s="20"/>
      <c r="D5" s="29">
        <f>D47/D4</f>
        <v>1.6220788835099278</v>
      </c>
      <c r="E5" s="18"/>
      <c r="F5" s="18"/>
    </row>
    <row r="6" spans="1:6" ht="15" customHeight="1" x14ac:dyDescent="0.3">
      <c r="A6" s="37" t="s">
        <v>9</v>
      </c>
      <c r="B6" s="37"/>
      <c r="C6" s="20"/>
      <c r="D6" s="20"/>
      <c r="E6" s="18"/>
      <c r="F6" s="18"/>
    </row>
    <row r="7" spans="1:6" ht="15" customHeight="1" x14ac:dyDescent="0.3">
      <c r="A7" s="36" t="s">
        <v>10</v>
      </c>
      <c r="B7" s="36"/>
      <c r="C7" s="20"/>
      <c r="D7" s="20"/>
      <c r="E7" s="18"/>
      <c r="F7" s="18"/>
    </row>
    <row r="8" spans="1:6" ht="15" customHeight="1" x14ac:dyDescent="0.3">
      <c r="A8" s="36" t="s">
        <v>11</v>
      </c>
      <c r="B8" s="36"/>
      <c r="C8" s="20"/>
      <c r="D8" s="20"/>
      <c r="E8" s="18"/>
      <c r="F8" s="18"/>
    </row>
    <row r="9" spans="1:6" ht="15" customHeight="1" x14ac:dyDescent="0.3">
      <c r="A9" s="37" t="s">
        <v>12</v>
      </c>
      <c r="B9" s="37"/>
      <c r="C9" s="20"/>
      <c r="D9" s="20"/>
      <c r="E9" s="18"/>
      <c r="F9" s="18"/>
    </row>
    <row r="10" spans="1:6" ht="15" customHeight="1" x14ac:dyDescent="0.3">
      <c r="A10" s="36" t="s">
        <v>13</v>
      </c>
      <c r="B10" s="36"/>
      <c r="C10" s="20"/>
      <c r="D10" s="20"/>
      <c r="E10" s="18"/>
      <c r="F10" s="18"/>
    </row>
    <row r="11" spans="1:6" ht="15" customHeight="1" x14ac:dyDescent="0.3">
      <c r="A11" s="36" t="s">
        <v>14</v>
      </c>
      <c r="B11" s="36"/>
      <c r="C11" s="20"/>
      <c r="D11" s="20"/>
      <c r="E11" s="18"/>
      <c r="F11" s="18"/>
    </row>
    <row r="12" spans="1:6" ht="15" customHeight="1" x14ac:dyDescent="0.3">
      <c r="A12" s="36" t="s">
        <v>15</v>
      </c>
      <c r="B12" s="36"/>
      <c r="C12" s="20"/>
      <c r="D12" s="20"/>
      <c r="E12" s="18"/>
      <c r="F12" s="18"/>
    </row>
    <row r="13" spans="1:6" ht="15" customHeight="1" x14ac:dyDescent="0.3">
      <c r="A13" s="37" t="s">
        <v>16</v>
      </c>
      <c r="B13" s="37"/>
      <c r="C13" s="20"/>
      <c r="D13" s="21"/>
      <c r="E13" s="18"/>
      <c r="F13" s="18"/>
    </row>
    <row r="14" spans="1:6" ht="15" customHeight="1" x14ac:dyDescent="0.3">
      <c r="A14" s="33" t="s">
        <v>17</v>
      </c>
      <c r="B14" s="33"/>
      <c r="C14" s="10" t="s">
        <v>18</v>
      </c>
      <c r="D14" s="28">
        <f>D17+D20</f>
        <v>8656.5600000000013</v>
      </c>
      <c r="E14" s="16"/>
      <c r="F14" s="16"/>
    </row>
    <row r="15" spans="1:6" ht="15" customHeight="1" x14ac:dyDescent="0.3">
      <c r="A15" s="33" t="s">
        <v>19</v>
      </c>
      <c r="B15" s="33"/>
      <c r="C15" s="10" t="s">
        <v>20</v>
      </c>
      <c r="D15" s="30">
        <f>D16+D19</f>
        <v>157</v>
      </c>
      <c r="E15" s="16"/>
      <c r="F15" s="16"/>
    </row>
    <row r="16" spans="1:6" ht="15" customHeight="1" x14ac:dyDescent="0.3">
      <c r="A16" s="36" t="s">
        <v>21</v>
      </c>
      <c r="B16" s="36" t="s">
        <v>6</v>
      </c>
      <c r="C16" s="12" t="s">
        <v>22</v>
      </c>
      <c r="D16" s="24">
        <v>156</v>
      </c>
      <c r="E16" s="14"/>
      <c r="F16" s="14"/>
    </row>
    <row r="17" spans="1:6" ht="15" customHeight="1" x14ac:dyDescent="0.3">
      <c r="A17" s="36" t="s">
        <v>23</v>
      </c>
      <c r="B17" s="36" t="s">
        <v>24</v>
      </c>
      <c r="C17" s="12" t="s">
        <v>25</v>
      </c>
      <c r="D17" s="23">
        <v>8585.4500000000007</v>
      </c>
      <c r="E17" s="14"/>
      <c r="F17" s="14"/>
    </row>
    <row r="18" spans="1:6" ht="15" customHeight="1" x14ac:dyDescent="0.3">
      <c r="A18" s="38" t="s">
        <v>26</v>
      </c>
      <c r="B18" s="38" t="s">
        <v>27</v>
      </c>
      <c r="C18" s="10" t="s">
        <v>28</v>
      </c>
      <c r="D18" s="28">
        <f>D17/D16</f>
        <v>55.034935897435901</v>
      </c>
      <c r="E18" s="17"/>
      <c r="F18" s="17"/>
    </row>
    <row r="19" spans="1:6" ht="15" customHeight="1" x14ac:dyDescent="0.3">
      <c r="A19" s="36" t="s">
        <v>29</v>
      </c>
      <c r="B19" s="36" t="s">
        <v>30</v>
      </c>
      <c r="C19" s="12" t="s">
        <v>31</v>
      </c>
      <c r="D19" s="24">
        <v>1</v>
      </c>
      <c r="E19" s="14"/>
      <c r="F19" s="14"/>
    </row>
    <row r="20" spans="1:6" ht="15" customHeight="1" x14ac:dyDescent="0.3">
      <c r="A20" s="36" t="s">
        <v>32</v>
      </c>
      <c r="B20" s="36" t="s">
        <v>33</v>
      </c>
      <c r="C20" s="12" t="s">
        <v>34</v>
      </c>
      <c r="D20" s="23">
        <v>71.11</v>
      </c>
      <c r="E20" s="14"/>
      <c r="F20" s="14"/>
    </row>
    <row r="21" spans="1:6" ht="15" customHeight="1" x14ac:dyDescent="0.3">
      <c r="A21" s="37" t="s">
        <v>35</v>
      </c>
      <c r="B21" s="37" t="s">
        <v>36</v>
      </c>
      <c r="C21" s="12"/>
      <c r="D21" s="12"/>
      <c r="E21" s="12"/>
      <c r="F21" s="12"/>
    </row>
    <row r="22" spans="1:6" ht="45" customHeight="1" x14ac:dyDescent="0.3">
      <c r="A22" s="36" t="s">
        <v>37</v>
      </c>
      <c r="B22" s="36" t="s">
        <v>36</v>
      </c>
      <c r="C22" s="12"/>
      <c r="D22" s="12"/>
      <c r="E22" s="12"/>
      <c r="F22" s="12"/>
    </row>
    <row r="23" spans="1:6" ht="15" customHeight="1" x14ac:dyDescent="0.3">
      <c r="A23" s="33" t="s">
        <v>38</v>
      </c>
      <c r="B23" s="33"/>
      <c r="C23" s="10" t="s">
        <v>39</v>
      </c>
      <c r="D23" s="26">
        <f>D26+D27</f>
        <v>177</v>
      </c>
      <c r="E23" s="16"/>
      <c r="F23" s="16"/>
    </row>
    <row r="24" spans="1:6" ht="15" customHeight="1" x14ac:dyDescent="0.3">
      <c r="A24" s="37" t="s">
        <v>40</v>
      </c>
      <c r="B24" s="37"/>
      <c r="C24" s="12"/>
      <c r="D24" s="27"/>
      <c r="E24" s="11"/>
      <c r="F24" s="11"/>
    </row>
    <row r="25" spans="1:6" ht="15" customHeight="1" x14ac:dyDescent="0.3">
      <c r="A25" s="36" t="s">
        <v>41</v>
      </c>
      <c r="B25" s="36" t="s">
        <v>36</v>
      </c>
      <c r="C25" s="12"/>
      <c r="D25" s="12"/>
      <c r="E25" s="12"/>
      <c r="F25" s="14"/>
    </row>
    <row r="26" spans="1:6" ht="15" customHeight="1" x14ac:dyDescent="0.3">
      <c r="A26" s="36" t="s">
        <v>42</v>
      </c>
      <c r="B26" s="36" t="s">
        <v>36</v>
      </c>
      <c r="C26" s="12" t="s">
        <v>43</v>
      </c>
      <c r="D26" s="12">
        <v>4</v>
      </c>
      <c r="E26" s="14"/>
      <c r="F26" s="14"/>
    </row>
    <row r="27" spans="1:6" ht="15" customHeight="1" x14ac:dyDescent="0.3">
      <c r="A27" s="36" t="s">
        <v>44</v>
      </c>
      <c r="B27" s="36"/>
      <c r="C27" s="12" t="s">
        <v>45</v>
      </c>
      <c r="D27" s="25">
        <v>173</v>
      </c>
      <c r="E27" s="14"/>
      <c r="F27" s="14"/>
    </row>
    <row r="28" spans="1:6" ht="15" customHeight="1" x14ac:dyDescent="0.3">
      <c r="A28" s="36" t="s">
        <v>46</v>
      </c>
      <c r="B28" s="36"/>
      <c r="C28" s="12"/>
      <c r="D28" s="12"/>
      <c r="E28" s="14"/>
      <c r="F28" s="14"/>
    </row>
    <row r="29" spans="1:6" ht="15" customHeight="1" x14ac:dyDescent="0.3">
      <c r="A29" s="36" t="s">
        <v>47</v>
      </c>
      <c r="B29" s="36"/>
      <c r="C29" s="12"/>
      <c r="D29" s="12"/>
      <c r="E29" s="14"/>
      <c r="F29" s="14"/>
    </row>
    <row r="30" spans="1:6" s="15" customFormat="1" ht="15" customHeight="1" x14ac:dyDescent="0.3">
      <c r="A30" s="33" t="s">
        <v>48</v>
      </c>
      <c r="B30" s="33"/>
      <c r="C30" s="10" t="s">
        <v>49</v>
      </c>
      <c r="D30" s="16"/>
      <c r="E30" s="16"/>
      <c r="F30" s="16"/>
    </row>
    <row r="31" spans="1:6" ht="15" customHeight="1" x14ac:dyDescent="0.3">
      <c r="A31" s="36" t="s">
        <v>50</v>
      </c>
      <c r="B31" s="36"/>
      <c r="C31" s="12" t="s">
        <v>51</v>
      </c>
      <c r="D31" s="12"/>
      <c r="E31" s="14"/>
      <c r="F31" s="14"/>
    </row>
    <row r="32" spans="1:6" ht="15" customHeight="1" x14ac:dyDescent="0.3">
      <c r="A32" s="36" t="s">
        <v>52</v>
      </c>
      <c r="B32" s="36"/>
      <c r="C32" s="12"/>
      <c r="D32" s="12"/>
      <c r="E32" s="14"/>
      <c r="F32" s="14"/>
    </row>
    <row r="33" spans="1:6" ht="15" customHeight="1" x14ac:dyDescent="0.3">
      <c r="A33" s="36" t="s">
        <v>53</v>
      </c>
      <c r="B33" s="36"/>
      <c r="C33" s="12"/>
      <c r="D33" s="12"/>
      <c r="E33" s="14"/>
      <c r="F33" s="14"/>
    </row>
    <row r="34" spans="1:6" ht="15" customHeight="1" x14ac:dyDescent="0.3">
      <c r="A34" s="36" t="s">
        <v>54</v>
      </c>
      <c r="B34" s="36"/>
      <c r="C34" s="12"/>
      <c r="D34" s="12"/>
      <c r="E34" s="14"/>
      <c r="F34" s="14"/>
    </row>
    <row r="35" spans="1:6" ht="15" customHeight="1" x14ac:dyDescent="0.3">
      <c r="A35" s="36" t="s">
        <v>55</v>
      </c>
      <c r="B35" s="36"/>
      <c r="C35" s="12"/>
      <c r="D35" s="12"/>
      <c r="E35" s="14"/>
      <c r="F35" s="14"/>
    </row>
    <row r="36" spans="1:6" ht="15" customHeight="1" x14ac:dyDescent="0.3">
      <c r="A36" s="36" t="s">
        <v>56</v>
      </c>
      <c r="B36" s="36"/>
      <c r="C36" s="12" t="s">
        <v>57</v>
      </c>
      <c r="D36" s="12">
        <v>0</v>
      </c>
      <c r="E36" s="14"/>
      <c r="F36" s="14"/>
    </row>
    <row r="37" spans="1:6" ht="15" customHeight="1" x14ac:dyDescent="0.3">
      <c r="A37" s="37" t="s">
        <v>58</v>
      </c>
      <c r="B37" s="37"/>
      <c r="C37" s="12" t="s">
        <v>59</v>
      </c>
      <c r="D37" s="12">
        <v>5</v>
      </c>
      <c r="E37" s="14"/>
      <c r="F37" s="14"/>
    </row>
    <row r="38" spans="1:6" ht="15" customHeight="1" x14ac:dyDescent="0.3">
      <c r="A38" s="36" t="s">
        <v>60</v>
      </c>
      <c r="B38" s="36"/>
      <c r="C38" s="12"/>
      <c r="D38" s="12">
        <v>14.14</v>
      </c>
      <c r="E38" s="14"/>
      <c r="F38" s="14"/>
    </row>
    <row r="39" spans="1:6" ht="15" customHeight="1" x14ac:dyDescent="0.3">
      <c r="A39" s="36" t="s">
        <v>61</v>
      </c>
      <c r="B39" s="36"/>
      <c r="C39" s="12"/>
      <c r="D39" s="12"/>
      <c r="E39" s="14"/>
      <c r="F39" s="14"/>
    </row>
    <row r="40" spans="1:6" ht="15" customHeight="1" x14ac:dyDescent="0.3">
      <c r="A40" s="36" t="s">
        <v>62</v>
      </c>
      <c r="B40" s="36"/>
      <c r="C40" s="12"/>
      <c r="D40" s="12"/>
      <c r="E40" s="14"/>
      <c r="F40" s="14"/>
    </row>
    <row r="41" spans="1:6" ht="15" customHeight="1" x14ac:dyDescent="0.3">
      <c r="A41" s="36" t="s">
        <v>63</v>
      </c>
      <c r="B41" s="36"/>
      <c r="C41" s="12"/>
      <c r="D41" s="12">
        <v>4</v>
      </c>
      <c r="E41" s="14"/>
      <c r="F41" s="14"/>
    </row>
    <row r="42" spans="1:6" ht="15" customHeight="1" x14ac:dyDescent="0.3">
      <c r="A42" s="36" t="s">
        <v>64</v>
      </c>
      <c r="B42" s="36"/>
      <c r="C42" s="12"/>
      <c r="D42" s="12">
        <v>1</v>
      </c>
      <c r="E42" s="14"/>
      <c r="F42" s="14"/>
    </row>
    <row r="43" spans="1:6" ht="15" customHeight="1" x14ac:dyDescent="0.3">
      <c r="A43" s="36" t="s">
        <v>65</v>
      </c>
      <c r="B43" s="36"/>
      <c r="C43" s="12" t="s">
        <v>66</v>
      </c>
      <c r="D43" s="12">
        <v>5</v>
      </c>
      <c r="E43" s="14"/>
      <c r="F43" s="14"/>
    </row>
    <row r="44" spans="1:6" ht="15" customHeight="1" x14ac:dyDescent="0.3">
      <c r="A44" s="33" t="s">
        <v>67</v>
      </c>
      <c r="B44" s="33"/>
      <c r="C44" s="10" t="s">
        <v>68</v>
      </c>
      <c r="D44" s="10">
        <f>D47+D49</f>
        <v>16743.2</v>
      </c>
      <c r="E44" s="14"/>
      <c r="F44" s="14"/>
    </row>
    <row r="45" spans="1:6" ht="15" customHeight="1" x14ac:dyDescent="0.3">
      <c r="A45" s="36" t="s">
        <v>69</v>
      </c>
      <c r="B45" s="36"/>
      <c r="C45" s="12"/>
      <c r="D45" s="12">
        <v>774.79999999999825</v>
      </c>
      <c r="E45" s="14"/>
      <c r="F45" s="14"/>
    </row>
    <row r="46" spans="1:6" ht="15" customHeight="1" x14ac:dyDescent="0.3">
      <c r="A46" s="33" t="s">
        <v>70</v>
      </c>
      <c r="B46" s="33"/>
      <c r="C46" s="10" t="s">
        <v>71</v>
      </c>
      <c r="D46" s="10"/>
      <c r="E46" s="14"/>
      <c r="F46" s="14"/>
    </row>
    <row r="47" spans="1:6" ht="15" customHeight="1" x14ac:dyDescent="0.3">
      <c r="A47" s="33" t="s">
        <v>72</v>
      </c>
      <c r="B47" s="33"/>
      <c r="C47" s="10" t="s">
        <v>73</v>
      </c>
      <c r="D47" s="10">
        <v>11985.33</v>
      </c>
      <c r="E47" s="14"/>
      <c r="F47" s="14"/>
    </row>
    <row r="48" spans="1:6" ht="15" customHeight="1" x14ac:dyDescent="0.3">
      <c r="A48" s="33" t="s">
        <v>74</v>
      </c>
      <c r="B48" s="33"/>
      <c r="C48" s="10" t="s">
        <v>75</v>
      </c>
      <c r="D48" s="10"/>
      <c r="E48" s="14"/>
      <c r="F48" s="14"/>
    </row>
    <row r="49" spans="1:6" ht="15" customHeight="1" x14ac:dyDescent="0.3">
      <c r="A49" s="33" t="s">
        <v>76</v>
      </c>
      <c r="B49" s="33"/>
      <c r="C49" s="10" t="s">
        <v>77</v>
      </c>
      <c r="D49" s="10">
        <v>4757.87</v>
      </c>
      <c r="E49" s="13"/>
      <c r="F49" s="13"/>
    </row>
    <row r="50" spans="1:6" ht="15" customHeight="1" x14ac:dyDescent="0.3">
      <c r="A50" s="36" t="s">
        <v>78</v>
      </c>
      <c r="B50" s="36"/>
      <c r="C50" s="12" t="s">
        <v>79</v>
      </c>
      <c r="D50" s="12"/>
      <c r="E50" s="11"/>
      <c r="F50" s="11"/>
    </row>
    <row r="51" spans="1:6" ht="15" customHeight="1" x14ac:dyDescent="0.3">
      <c r="A51" s="33" t="s">
        <v>80</v>
      </c>
      <c r="B51" s="33"/>
      <c r="C51" s="10"/>
      <c r="D51" s="22"/>
      <c r="E51" s="9"/>
      <c r="F51" s="9"/>
    </row>
    <row r="52" spans="1:6" ht="15" customHeight="1" x14ac:dyDescent="0.3">
      <c r="A52" s="33" t="s">
        <v>81</v>
      </c>
      <c r="B52" s="33"/>
      <c r="C52" s="10"/>
      <c r="D52" s="22">
        <f>D14/D47</f>
        <v>0.72226296647651766</v>
      </c>
      <c r="E52" s="9"/>
      <c r="F52" s="9"/>
    </row>
    <row r="53" spans="1:6" ht="15" customHeight="1" x14ac:dyDescent="0.3">
      <c r="A53" s="33" t="s">
        <v>82</v>
      </c>
      <c r="B53" s="33"/>
      <c r="C53" s="10"/>
      <c r="D53" s="22">
        <f>D14/D44</f>
        <v>0.51701944670075017</v>
      </c>
      <c r="E53" s="9"/>
      <c r="F53" s="9"/>
    </row>
    <row r="54" spans="1:6" ht="15" customHeight="1" x14ac:dyDescent="0.3">
      <c r="A54" s="33" t="s">
        <v>83</v>
      </c>
      <c r="B54" s="33"/>
      <c r="C54" s="10"/>
      <c r="D54" s="10"/>
      <c r="E54" s="9"/>
      <c r="F54" s="9"/>
    </row>
    <row r="55" spans="1:6" ht="15" customHeight="1" x14ac:dyDescent="0.3">
      <c r="A55" s="33" t="s">
        <v>84</v>
      </c>
      <c r="B55" s="33"/>
      <c r="C55" s="10"/>
      <c r="D55" s="31">
        <f>D49/D27</f>
        <v>27.5021387283237</v>
      </c>
      <c r="E55" s="9"/>
      <c r="F55" s="9"/>
    </row>
    <row r="56" spans="1:6" ht="15" customHeight="1" x14ac:dyDescent="0.3">
      <c r="A56" s="33" t="s">
        <v>85</v>
      </c>
      <c r="B56" s="33"/>
      <c r="C56" s="10"/>
      <c r="D56" s="10"/>
      <c r="E56" s="9"/>
      <c r="F56" s="9"/>
    </row>
    <row r="57" spans="1:6" ht="15" customHeight="1" x14ac:dyDescent="0.3">
      <c r="A57" s="33" t="s">
        <v>86</v>
      </c>
      <c r="B57" s="33"/>
      <c r="C57" s="10"/>
      <c r="D57" s="10"/>
      <c r="E57" s="9"/>
      <c r="F57" s="9"/>
    </row>
    <row r="58" spans="1:6" ht="15" customHeight="1" x14ac:dyDescent="0.3">
      <c r="A58" s="33" t="s">
        <v>84</v>
      </c>
      <c r="B58" s="33"/>
      <c r="C58" s="10"/>
      <c r="D58" s="22"/>
      <c r="E58" s="9"/>
      <c r="F58" s="9"/>
    </row>
    <row r="59" spans="1:6" ht="15" customHeight="1" x14ac:dyDescent="0.3">
      <c r="A59" s="33" t="s">
        <v>87</v>
      </c>
      <c r="B59" s="33"/>
      <c r="C59" s="10"/>
      <c r="D59" s="10"/>
      <c r="E59" s="9"/>
      <c r="F59" s="9"/>
    </row>
    <row r="60" spans="1:6" ht="15" customHeight="1" x14ac:dyDescent="0.3">
      <c r="A60" s="33" t="s">
        <v>88</v>
      </c>
      <c r="B60" s="33"/>
      <c r="C60" s="10"/>
      <c r="D60" s="10"/>
      <c r="E60" s="9"/>
      <c r="F60" s="9"/>
    </row>
    <row r="61" spans="1:6" ht="15" customHeight="1" x14ac:dyDescent="0.3">
      <c r="A61" s="33" t="s">
        <v>89</v>
      </c>
      <c r="B61" s="33"/>
      <c r="C61" s="10"/>
      <c r="D61" s="10"/>
      <c r="E61" s="9"/>
      <c r="F61" s="9"/>
    </row>
    <row r="62" spans="1:6" ht="15" customHeight="1" x14ac:dyDescent="0.3">
      <c r="A62" s="34" t="s">
        <v>90</v>
      </c>
      <c r="B62" s="35"/>
      <c r="C62" s="10"/>
      <c r="D62" s="10"/>
      <c r="E62" s="9"/>
      <c r="F62" s="9"/>
    </row>
    <row r="63" spans="1:6" ht="15" customHeight="1" x14ac:dyDescent="0.3">
      <c r="A63" s="32"/>
      <c r="B63" s="32"/>
      <c r="C63" s="10"/>
      <c r="D63" s="10"/>
      <c r="E63" s="9"/>
      <c r="F63" s="9"/>
    </row>
    <row r="64" spans="1:6" s="3" customFormat="1" x14ac:dyDescent="0.3">
      <c r="B64" s="8"/>
      <c r="C64" s="7"/>
      <c r="D64" s="7"/>
    </row>
    <row r="65" spans="1:6" x14ac:dyDescent="0.3">
      <c r="A65" s="3"/>
      <c r="B65" s="6"/>
      <c r="C65" s="5"/>
      <c r="D65" s="5"/>
      <c r="E65" s="4"/>
      <c r="F65" s="4"/>
    </row>
    <row r="66" spans="1:6" x14ac:dyDescent="0.3">
      <c r="A66" s="3"/>
    </row>
    <row r="67" spans="1:6" x14ac:dyDescent="0.3">
      <c r="A67" s="3"/>
    </row>
  </sheetData>
  <mergeCells count="62">
    <mergeCell ref="A2:F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62:B62"/>
    <mergeCell ref="A63:B63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  <pageSetup paperSize="9" scale="67" fitToWidth="0" orientation="portrait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zestawienie (proj)</vt:lpstr>
      <vt:lpstr>'zestawienie (proj)'!Obszar_wydruku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Dorota Wnorowska</dc:creator>
  <cp:keywords/>
  <dc:description/>
  <cp:lastModifiedBy>Bronisław Borowski</cp:lastModifiedBy>
  <cp:revision/>
  <dcterms:created xsi:type="dcterms:W3CDTF">2022-09-09T11:27:41Z</dcterms:created>
  <dcterms:modified xsi:type="dcterms:W3CDTF">2026-08-20T09:51:50Z</dcterms:modified>
  <cp:category/>
  <cp:contentStatus/>
</cp:coreProperties>
</file>